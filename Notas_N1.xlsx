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ano_2026S1\IA\"/>
    </mc:Choice>
  </mc:AlternateContent>
  <xr:revisionPtr revIDLastSave="0" documentId="13_ncr:1_{BC42BC0C-A850-4368-9D5B-FD8259EFC469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Notas" sheetId="1" r:id="rId1"/>
  </sheets>
  <definedNames>
    <definedName name="_xlnm._FilterDatabase" localSheetId="0" hidden="1">Notas!$A$1:$N$42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3" i="1" l="1"/>
  <c r="O43" i="1"/>
  <c r="Q43" i="1"/>
  <c r="R43" i="1"/>
  <c r="S43" i="1"/>
  <c r="I4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2" i="1"/>
  <c r="Q3" i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2" i="1"/>
  <c r="R2" i="1" s="1"/>
</calcChain>
</file>

<file path=xl/sharedStrings.xml><?xml version="1.0" encoding="utf-8"?>
<sst xmlns="http://schemas.openxmlformats.org/spreadsheetml/2006/main" count="194" uniqueCount="184">
  <si>
    <t>Nome</t>
  </si>
  <si>
    <t>Sobrenome</t>
  </si>
  <si>
    <t>Endereço de e-mail</t>
  </si>
  <si>
    <t>BRUNA</t>
  </si>
  <si>
    <t>AGUIAR MUCHIUTI</t>
  </si>
  <si>
    <t>10418358@mackenzista.com.br</t>
  </si>
  <si>
    <t>VITOR</t>
  </si>
  <si>
    <t>ALVES PEREIRA</t>
  </si>
  <si>
    <t xml:space="preserve"> </t>
  </si>
  <si>
    <t>10410862@mackenzista.com.br</t>
  </si>
  <si>
    <t>BRUNO</t>
  </si>
  <si>
    <t>ANTICO GALIN</t>
  </si>
  <si>
    <t>10417318@mackenzista.com.br</t>
  </si>
  <si>
    <t>MARCO</t>
  </si>
  <si>
    <t>ANTONIO DE CAMARGO</t>
  </si>
  <si>
    <t>10418309@mackenzista.com.br</t>
  </si>
  <si>
    <t>OTAVIO</t>
  </si>
  <si>
    <t>AUGUSTO FREIRE DE ANDRADE BRUZADI</t>
  </si>
  <si>
    <t>10409053@mackenzista.com.br</t>
  </si>
  <si>
    <t>MARINA</t>
  </si>
  <si>
    <t>BARROCA</t>
  </si>
  <si>
    <t>10740412@mackenzista.com.br</t>
  </si>
  <si>
    <t>ENZO</t>
  </si>
  <si>
    <t>BENEDETTO PROENCA</t>
  </si>
  <si>
    <t>10418579@mackenzista.com.br</t>
  </si>
  <si>
    <t>LIVIA</t>
  </si>
  <si>
    <t>CANTOWITZ</t>
  </si>
  <si>
    <t>10389419@mackenzista.com.br</t>
  </si>
  <si>
    <t>ISMAEL</t>
  </si>
  <si>
    <t>DE SOUSA SILVA</t>
  </si>
  <si>
    <t>10410870@mackenzista.com.br</t>
  </si>
  <si>
    <t>JESSICA</t>
  </si>
  <si>
    <t>DOS SANTOS SANTANA BISPO</t>
  </si>
  <si>
    <t>10410798@mackenzista.com.br</t>
  </si>
  <si>
    <t>GUILHERME</t>
  </si>
  <si>
    <t>FERREIRA MARTINS RAMOS</t>
  </si>
  <si>
    <t>10418373@mackenzista.com.br</t>
  </si>
  <si>
    <t>MATHEUS</t>
  </si>
  <si>
    <t>HENRIQUE DE OLIVEIRA SANTOS</t>
  </si>
  <si>
    <t>10409051@mackenzista.com.br</t>
  </si>
  <si>
    <t>NICOLAS</t>
  </si>
  <si>
    <t>HENRIQUES DE ALMEIDA</t>
  </si>
  <si>
    <t>10418357@mackenzista.com.br</t>
  </si>
  <si>
    <t>ALEX</t>
  </si>
  <si>
    <t>KAZUO KODAMA</t>
  </si>
  <si>
    <t>10417942@mackenzista.com.br</t>
  </si>
  <si>
    <t>GABRIEL</t>
  </si>
  <si>
    <t>KEN KAZAMA GERONAZZO</t>
  </si>
  <si>
    <t>10418247@mackenzista.com.br</t>
  </si>
  <si>
    <t>GUSTAVO</t>
  </si>
  <si>
    <t>KENZO NAKAZATO SLEIMAN</t>
  </si>
  <si>
    <t>10408988@mackenzista.com.br</t>
  </si>
  <si>
    <t>LAUAND FERRAO</t>
  </si>
  <si>
    <t>10401081@mackenzista.com.br</t>
  </si>
  <si>
    <t>LAZARETI CARDOSO</t>
  </si>
  <si>
    <t>10417353@mackenzista.com.br</t>
  </si>
  <si>
    <t>BEATRIZ</t>
  </si>
  <si>
    <t>LIMA DE MOURA</t>
  </si>
  <si>
    <t>10416616@mackenzista.com.br</t>
  </si>
  <si>
    <t>FRANCISCO</t>
  </si>
  <si>
    <t>LOSADA TOTARO</t>
  </si>
  <si>
    <t>10364673@mackenzista.com.br</t>
  </si>
  <si>
    <t>ANNA</t>
  </si>
  <si>
    <t>LUIZA STELLA SANTOS</t>
  </si>
  <si>
    <t>10417401@mackenzista.com.br</t>
  </si>
  <si>
    <t>CAUE</t>
  </si>
  <si>
    <t>MACEDO DE SOUZA</t>
  </si>
  <si>
    <t>10396330@mackenzista.com.br</t>
  </si>
  <si>
    <t>FERNANDO</t>
  </si>
  <si>
    <t>MATHIAS FERRO DOS SANTOS</t>
  </si>
  <si>
    <t>10418683@mackenzista.com.br</t>
  </si>
  <si>
    <t>ANDRE</t>
  </si>
  <si>
    <t>MOREIRA GUIMARAES</t>
  </si>
  <si>
    <t>10416590@mackenzista.com.br</t>
  </si>
  <si>
    <t>NATAN</t>
  </si>
  <si>
    <t>MOREIRA PASSOS</t>
  </si>
  <si>
    <t>10417916@mackenzista.com.br</t>
  </si>
  <si>
    <t>EDUARDO</t>
  </si>
  <si>
    <t>OLIVEIRA CARVALHO</t>
  </si>
  <si>
    <t>10417170@mackenzista.com.br</t>
  </si>
  <si>
    <t>LEONARDO</t>
  </si>
  <si>
    <t>PATRIANI CARDOSO</t>
  </si>
  <si>
    <t>10417188@mackenzista.com.br</t>
  </si>
  <si>
    <t>CLEVERSON</t>
  </si>
  <si>
    <t>PEREIRA DA SILVA</t>
  </si>
  <si>
    <t>10391119@mackenzista.com.br</t>
  </si>
  <si>
    <t>THOMAS</t>
  </si>
  <si>
    <t>PINHEIRO GRANDIN</t>
  </si>
  <si>
    <t>10418118@mackenzista.com.br</t>
  </si>
  <si>
    <t>LUCAS</t>
  </si>
  <si>
    <t>PIRES DE CAMARGO SARAI</t>
  </si>
  <si>
    <t>10418013@mackenzista.com.br</t>
  </si>
  <si>
    <t>JOAO</t>
  </si>
  <si>
    <t>ROCHA MURGEL</t>
  </si>
  <si>
    <t>10410293@mackenzista.com.br</t>
  </si>
  <si>
    <t>JULIA</t>
  </si>
  <si>
    <t>SANTOS OLIVEIRA</t>
  </si>
  <si>
    <t>10417672@mackenzista.com.br</t>
  </si>
  <si>
    <t>TIAGO</t>
  </si>
  <si>
    <t>SILVEIRA LOPES</t>
  </si>
  <si>
    <t>10417600@mackenzista.com.br</t>
  </si>
  <si>
    <t>GIOVANA</t>
  </si>
  <si>
    <t>SIMOES FRANCO</t>
  </si>
  <si>
    <t>10417646@mackenzista.com.br</t>
  </si>
  <si>
    <t>BERNARDO</t>
  </si>
  <si>
    <t>SOUZA OLIVEIRA</t>
  </si>
  <si>
    <t>10312871@mackenzista.com.br</t>
  </si>
  <si>
    <t>TAKASHI MISSAKA</t>
  </si>
  <si>
    <t>10417877@mackenzista.com.br</t>
  </si>
  <si>
    <t>TORTOLIO FONSECA</t>
  </si>
  <si>
    <t>10416751@mackenzista.com.br</t>
  </si>
  <si>
    <t>VICTOR MARTINS</t>
  </si>
  <si>
    <t>10417928@mackenzista.com.br</t>
  </si>
  <si>
    <t>FELIPE</t>
  </si>
  <si>
    <t>VIVIANI SCHULZE</t>
  </si>
  <si>
    <t>10417996@mackenzista.com.br</t>
  </si>
  <si>
    <t>HENRIQUE</t>
  </si>
  <si>
    <t>YUJI ISOGAI YONEOKA</t>
  </si>
  <si>
    <t>10418153@mackenzista.com.br</t>
  </si>
  <si>
    <t>LARISSA</t>
  </si>
  <si>
    <t>YURI SATO</t>
  </si>
  <si>
    <t>10418318@mackenzista.com.br</t>
  </si>
  <si>
    <t>https://www.skills.google/public_profiles/049c6066-3cac-4fc7-86d0-f4921e01ca78</t>
  </si>
  <si>
    <t>https://www.skills.google/public_profiles/ffd9fca7-0875-45e4-8d82-7631c21627f8</t>
  </si>
  <si>
    <t>https://www.skills.google/public_profiles/d8f4d5ae-24d1-478e-a845-35e25c2aff6c</t>
  </si>
  <si>
    <t>https://www.skills.google/public_profiles/500ee132-43c5-4bc9-af7d-0bbf23a48911</t>
  </si>
  <si>
    <t>https://www.skills.google/public_profiles/a1f238aa-ccf4-4151-bcbe-3fc90f4af7f2</t>
  </si>
  <si>
    <t>https://www.skills.google/public_profiles/c03264ed-091b-4e83-979b-7efc362588fa</t>
  </si>
  <si>
    <t>https://www.skills.google/public_profiles/bac0ce94-ef4d-4f72-bd3f-b9a3215dbe8c</t>
  </si>
  <si>
    <t>https://www.skills.google/public_profiles/2611dc45-acb3-4e62-97ea-26a4f9cb5131</t>
  </si>
  <si>
    <t>https://www.skills.google/public_profiles/de1a741a-eb3d-437f-9549-a0366e4fef73</t>
  </si>
  <si>
    <t>https://www.skills.google/public_profiles/21053c0c-6229-4327-b55b-831273556c0b</t>
  </si>
  <si>
    <t>https://www.skills.google/public_profiles/3e9b29e4-e00f-4319-b4fe-9a723416c8b1</t>
  </si>
  <si>
    <t>https://www.skills.google/public_profiles/82aeaaf7-1de9-4838-9377-aeccdd5d5d38</t>
  </si>
  <si>
    <t>https://www.skills.google/public_profiles/53c78749-f9ba-4e74-b14c-6ffcd1ed02cf</t>
  </si>
  <si>
    <t>https://www.skills.google/public_profiles/1471add6-32b8-4d51-a61a-df448649b77e</t>
  </si>
  <si>
    <t>https://www.skills.google/public_profiles/60207089-7f50-4e18-86cc-27a8cba7b288</t>
  </si>
  <si>
    <t>https://www.skills.google/public_profiles/bbdb82bd-d7a8-4f7f-8b5d-793c039f10aa</t>
  </si>
  <si>
    <t>https://www.skills.google/public_profiles/fe4fffd8-df9c-4d3a-9f38-b8976b32a5df</t>
  </si>
  <si>
    <t>https://www.skills.google/public_profiles/6a862fbf-9929-48d2-bfc5-cc069ead002c</t>
  </si>
  <si>
    <t>https://www.skills.google/public_profiles/6b14b2a2-6a3b-49bf-b674-da4ef9882725</t>
  </si>
  <si>
    <t>https://www.skills.google/public_profiles/1f42aec0-9fec-4d48-b12a-6843ae5c4869</t>
  </si>
  <si>
    <t>https://www.skills.google/public_profiles/3dd3ee0d-c8dd-4dea-af3e-de2ce0a826ed</t>
  </si>
  <si>
    <t>https://www.skills.google/public_profiles/2b930c7b-4420-41f0-ab66-6cb916697f65</t>
  </si>
  <si>
    <t>https://www.skills.google/public_profiles/6a5eec82-8b60-4a88-9854-71260e8b3dcb</t>
  </si>
  <si>
    <t>https://www.skills.google/public_profiles/9e5c44f1-8a45-4526-8630-91ef335cc23a</t>
  </si>
  <si>
    <t>https://www.skills.google/public_profiles/b818b6f3-fa81-4a1e-b182-1ed209d19463</t>
  </si>
  <si>
    <t>https://www.skills.google/public_profiles/d2cf66ed-a4b6-4001-ae81-bac2efd961f5</t>
  </si>
  <si>
    <t>https://www.skills.google/public_profiles/c12cd2ce-8770-4076-b9cd-594a79e94461</t>
  </si>
  <si>
    <t>https://www.skills.google/public_profiles/bbd8b5b1-b5f5-46b9-aa61-39764b90c0a1</t>
  </si>
  <si>
    <t>https://www.skills.google/public_profiles/7c8a0247-6aa9-4a41-9994-d4067e70cfe8</t>
  </si>
  <si>
    <t>Nome Completo</t>
  </si>
  <si>
    <t>=concat(A2;"  ";B2)</t>
  </si>
  <si>
    <t xml:space="preserve">Google Badges </t>
  </si>
  <si>
    <t>Google Link Profile</t>
  </si>
  <si>
    <t>G1</t>
  </si>
  <si>
    <t>G1 Nota</t>
  </si>
  <si>
    <t>G1 Feedback</t>
  </si>
  <si>
    <t>Não identifiquei variedade nas regras como OR ou NOT</t>
  </si>
  <si>
    <t>Não EXECUTA. Adicionalmente, não identifiquei variedade nas regras como OR ou NOT</t>
  </si>
  <si>
    <t>Sem execução e fora da proposta: REMÉDIOS ou PAÍSES segundo critérios não geográficos. Vocês apresentaram tema do semestre passado.</t>
  </si>
  <si>
    <t>Atividade obrigatoriamente em grupo. Não houve nem consulta prévia para entrega individual.</t>
  </si>
  <si>
    <t>Uso do Experta, excelente</t>
  </si>
  <si>
    <t>Muito bom, único trabalho sobre regras de remédios</t>
  </si>
  <si>
    <t xml:space="preserve">Regras com OR, NOT? Comentários sobre os resultados? </t>
  </si>
  <si>
    <t>G2</t>
  </si>
  <si>
    <t>G2 Nota</t>
  </si>
  <si>
    <t>G2 Feedback</t>
  </si>
  <si>
    <t>Vocês apresentaram exatamente o tema do semestre passado, neste semestre as cidades são do Nordeste.</t>
  </si>
  <si>
    <t>Grafo? Orientamos em sala para empregar o networkx</t>
  </si>
  <si>
    <t>Seria melhor terem empregado o networkx para o grafo.</t>
  </si>
  <si>
    <t>G3</t>
  </si>
  <si>
    <t>G3 Nota</t>
  </si>
  <si>
    <t>G3 Feedback</t>
  </si>
  <si>
    <t>Excelente tema: Maximizar o Alcance Social e Minimizar os Custos</t>
  </si>
  <si>
    <t>Excelente, Sudoku</t>
  </si>
  <si>
    <t>Atividade obrigatoriamente em grupo. Não houve nem consulta prévia para entrega individual. Mas está excelente a atividade com a Forca implementada by scratch.</t>
  </si>
  <si>
    <t>Bom, mas falam de maximizar quantidade de pacotes e minimizar custo total e impacto ambiental... Mas na prática só fizeram quantidade e custo</t>
  </si>
  <si>
    <t>Excelente! Único grupo a implementar Forca com o PyGDA!</t>
  </si>
  <si>
    <t>Poderiam, como é usual, ter adicionado os gráficos de convergência, além de comentarem os resultados.</t>
  </si>
  <si>
    <t>Excelente, Sudoko com  PyGDA... Mas, para clareza, poderiam ter explicitado os resultados do tabuleiro nos experimentos.</t>
  </si>
  <si>
    <t>P1
A (0,7)</t>
  </si>
  <si>
    <t>Média Exercícios
B (0,3)</t>
  </si>
  <si>
    <t>Nota 
Google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</si>
</sst>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theme="4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theme="3" tint="0.39997558519241921"/>
      <name val="Calibri"/>
      <family val="2"/>
    </font>
    <font>
      <b/>
      <sz val="11"/>
      <color rgb="FFC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49" fontId="0" fillId="0" borderId="0" xfId="0" applyNumberFormat="1"/>
    <xf numFmtId="0" fontId="2" fillId="0" borderId="0" xfId="1"/>
    <xf numFmtId="169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0" fontId="1" fillId="0" borderId="0" xfId="0" applyNumberFormat="1" applyFont="1"/>
    <xf numFmtId="169" fontId="0" fillId="0" borderId="0" xfId="0" applyNumberFormat="1" applyAlignment="1">
      <alignment horizontal="left"/>
    </xf>
    <xf numFmtId="0" fontId="1" fillId="0" borderId="0" xfId="0" applyFont="1" applyBorder="1"/>
    <xf numFmtId="49" fontId="0" fillId="0" borderId="0" xfId="0" applyNumberFormat="1" applyBorder="1"/>
    <xf numFmtId="49" fontId="1" fillId="0" borderId="0" xfId="0" applyNumberFormat="1" applyFont="1" applyBorder="1"/>
    <xf numFmtId="1" fontId="1" fillId="0" borderId="0" xfId="0" applyNumberFormat="1" applyFont="1" applyBorder="1" applyAlignment="1">
      <alignment horizontal="center"/>
    </xf>
    <xf numFmtId="49" fontId="0" fillId="0" borderId="0" xfId="0" applyNumberFormat="1" applyFont="1" applyBorder="1"/>
    <xf numFmtId="49" fontId="0" fillId="0" borderId="0" xfId="0" applyNumberFormat="1" applyFont="1" applyBorder="1" applyAlignment="1">
      <alignment horizontal="center"/>
    </xf>
    <xf numFmtId="169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NumberFormat="1" applyFont="1" applyBorder="1"/>
    <xf numFmtId="1" fontId="0" fillId="0" borderId="0" xfId="0" applyNumberFormat="1" applyBorder="1" applyAlignment="1">
      <alignment horizontal="center"/>
    </xf>
    <xf numFmtId="0" fontId="2" fillId="0" borderId="0" xfId="1" applyBorder="1"/>
    <xf numFmtId="0" fontId="0" fillId="0" borderId="0" xfId="0" applyBorder="1" applyAlignment="1">
      <alignment horizontal="center"/>
    </xf>
    <xf numFmtId="169" fontId="0" fillId="0" borderId="0" xfId="0" applyNumberFormat="1" applyBorder="1" applyAlignment="1">
      <alignment horizontal="left"/>
    </xf>
    <xf numFmtId="169" fontId="4" fillId="0" borderId="0" xfId="0" applyNumberFormat="1" applyFont="1" applyBorder="1" applyAlignment="1">
      <alignment horizontal="left"/>
    </xf>
    <xf numFmtId="0" fontId="0" fillId="0" borderId="0" xfId="0" applyBorder="1"/>
    <xf numFmtId="169" fontId="3" fillId="0" borderId="0" xfId="0" applyNumberFormat="1" applyFont="1" applyBorder="1" applyAlignment="1">
      <alignment horizontal="left"/>
    </xf>
    <xf numFmtId="0" fontId="3" fillId="0" borderId="0" xfId="0" applyFont="1" applyBorder="1"/>
    <xf numFmtId="0" fontId="1" fillId="0" borderId="1" xfId="0" applyNumberFormat="1" applyFont="1" applyBorder="1"/>
    <xf numFmtId="49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2" fillId="0" borderId="1" xfId="1" applyBorder="1"/>
    <xf numFmtId="0" fontId="0" fillId="0" borderId="1" xfId="0" applyBorder="1" applyAlignment="1">
      <alignment horizontal="center"/>
    </xf>
    <xf numFmtId="169" fontId="1" fillId="0" borderId="1" xfId="0" applyNumberFormat="1" applyFont="1" applyBorder="1" applyAlignment="1">
      <alignment horizontal="left"/>
    </xf>
    <xf numFmtId="169" fontId="0" fillId="0" borderId="1" xfId="0" applyNumberFormat="1" applyBorder="1" applyAlignment="1">
      <alignment horizontal="left"/>
    </xf>
    <xf numFmtId="0" fontId="3" fillId="0" borderId="1" xfId="0" applyFont="1" applyBorder="1"/>
    <xf numFmtId="0" fontId="5" fillId="0" borderId="1" xfId="0" applyFont="1" applyBorder="1"/>
    <xf numFmtId="49" fontId="5" fillId="0" borderId="1" xfId="0" applyNumberFormat="1" applyFont="1" applyBorder="1"/>
    <xf numFmtId="1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9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2" fillId="0" borderId="1" xfId="1" applyBorder="1" applyAlignment="1">
      <alignment vertical="center"/>
    </xf>
    <xf numFmtId="0" fontId="0" fillId="0" borderId="1" xfId="0" applyBorder="1"/>
    <xf numFmtId="169" fontId="6" fillId="0" borderId="1" xfId="0" applyNumberFormat="1" applyFont="1" applyBorder="1" applyAlignment="1">
      <alignment horizontal="center"/>
    </xf>
    <xf numFmtId="169" fontId="6" fillId="0" borderId="0" xfId="0" applyNumberFormat="1" applyFont="1" applyBorder="1" applyAlignment="1">
      <alignment horizontal="center"/>
    </xf>
    <xf numFmtId="169" fontId="6" fillId="0" borderId="0" xfId="0" applyNumberFormat="1" applyFont="1" applyAlignment="1">
      <alignment horizontal="center"/>
    </xf>
    <xf numFmtId="169" fontId="6" fillId="0" borderId="0" xfId="0" applyNumberFormat="1" applyFont="1"/>
    <xf numFmtId="169" fontId="6" fillId="0" borderId="1" xfId="0" applyNumberFormat="1" applyFont="1" applyBorder="1" applyAlignment="1">
      <alignment horizontal="center" wrapText="1"/>
    </xf>
    <xf numFmtId="169" fontId="7" fillId="0" borderId="1" xfId="0" applyNumberFormat="1" applyFont="1" applyBorder="1" applyAlignment="1">
      <alignment horizontal="center" wrapText="1"/>
    </xf>
    <xf numFmtId="169" fontId="7" fillId="0" borderId="0" xfId="0" applyNumberFormat="1" applyFont="1" applyBorder="1" applyAlignment="1">
      <alignment horizontal="center"/>
    </xf>
    <xf numFmtId="169" fontId="7" fillId="0" borderId="1" xfId="0" applyNumberFormat="1" applyFont="1" applyBorder="1" applyAlignment="1">
      <alignment horizontal="center"/>
    </xf>
    <xf numFmtId="169" fontId="7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kills.google/public_profiles/7c8a0247-6aa9-4a41-9994-d4067e70cfe8" TargetMode="External"/><Relationship Id="rId13" Type="http://schemas.openxmlformats.org/officeDocument/2006/relationships/hyperlink" Target="https://www.skills.google/public_profiles/de1a741a-eb3d-437f-9549-a0366e4fef73" TargetMode="External"/><Relationship Id="rId18" Type="http://schemas.openxmlformats.org/officeDocument/2006/relationships/hyperlink" Target="https://www.skills.google/public_profiles/1471add6-32b8-4d51-a61a-df448649b77e" TargetMode="External"/><Relationship Id="rId26" Type="http://schemas.openxmlformats.org/officeDocument/2006/relationships/hyperlink" Target="https://www.skills.google/public_profiles/2b930c7b-4420-41f0-ab66-6cb916697f65" TargetMode="External"/><Relationship Id="rId3" Type="http://schemas.openxmlformats.org/officeDocument/2006/relationships/hyperlink" Target="https://www.skills.google/public_profiles/9e5c44f1-8a45-4526-8630-91ef335cc23a" TargetMode="External"/><Relationship Id="rId21" Type="http://schemas.openxmlformats.org/officeDocument/2006/relationships/hyperlink" Target="https://www.skills.google/public_profiles/fe4fffd8-df9c-4d3a-9f38-b8976b32a5df" TargetMode="External"/><Relationship Id="rId7" Type="http://schemas.openxmlformats.org/officeDocument/2006/relationships/hyperlink" Target="https://www.skills.google/public_profiles/d8f4d5ae-24d1-478e-a845-35e25c2aff6c" TargetMode="External"/><Relationship Id="rId12" Type="http://schemas.openxmlformats.org/officeDocument/2006/relationships/hyperlink" Target="https://www.skills.google/public_profiles/2611dc45-acb3-4e62-97ea-26a4f9cb5131" TargetMode="External"/><Relationship Id="rId17" Type="http://schemas.openxmlformats.org/officeDocument/2006/relationships/hyperlink" Target="https://www.skills.google/public_profiles/53c78749-f9ba-4e74-b14c-6ffcd1ed02cf" TargetMode="External"/><Relationship Id="rId25" Type="http://schemas.openxmlformats.org/officeDocument/2006/relationships/hyperlink" Target="https://www.skills.google/public_profiles/3dd3ee0d-c8dd-4dea-af3e-de2ce0a826ed" TargetMode="External"/><Relationship Id="rId2" Type="http://schemas.openxmlformats.org/officeDocument/2006/relationships/hyperlink" Target="https://www.skills.google/public_profiles/6b14b2a2-6a3b-49bf-b674-da4ef9882725" TargetMode="External"/><Relationship Id="rId16" Type="http://schemas.openxmlformats.org/officeDocument/2006/relationships/hyperlink" Target="https://www.skills.google/public_profiles/82aeaaf7-1de9-4838-9377-aeccdd5d5d38" TargetMode="External"/><Relationship Id="rId20" Type="http://schemas.openxmlformats.org/officeDocument/2006/relationships/hyperlink" Target="https://www.skills.google/public_profiles/bbdb82bd-d7a8-4f7f-8b5d-793c039f10aa" TargetMode="External"/><Relationship Id="rId29" Type="http://schemas.openxmlformats.org/officeDocument/2006/relationships/hyperlink" Target="https://www.skills.google/public_profiles/bbd8b5b1-b5f5-46b9-aa61-39764b90c0a1" TargetMode="External"/><Relationship Id="rId1" Type="http://schemas.openxmlformats.org/officeDocument/2006/relationships/hyperlink" Target="https://www.skills.google/public_profiles/500ee132-43c5-4bc9-af7d-0bbf23a48911" TargetMode="External"/><Relationship Id="rId6" Type="http://schemas.openxmlformats.org/officeDocument/2006/relationships/hyperlink" Target="https://www.skills.google/public_profiles/ffd9fca7-0875-45e4-8d82-7631c21627f8" TargetMode="External"/><Relationship Id="rId11" Type="http://schemas.openxmlformats.org/officeDocument/2006/relationships/hyperlink" Target="https://www.skills.google/public_profiles/bac0ce94-ef4d-4f72-bd3f-b9a3215dbe8c" TargetMode="External"/><Relationship Id="rId24" Type="http://schemas.openxmlformats.org/officeDocument/2006/relationships/hyperlink" Target="https://www.skills.google/public_profiles/1f42aec0-9fec-4d48-b12a-6843ae5c4869" TargetMode="External"/><Relationship Id="rId5" Type="http://schemas.openxmlformats.org/officeDocument/2006/relationships/hyperlink" Target="https://www.skills.google/public_profiles/049c6066-3cac-4fc7-86d0-f4921e01ca78" TargetMode="External"/><Relationship Id="rId15" Type="http://schemas.openxmlformats.org/officeDocument/2006/relationships/hyperlink" Target="https://www.skills.google/public_profiles/3e9b29e4-e00f-4319-b4fe-9a723416c8b1" TargetMode="External"/><Relationship Id="rId23" Type="http://schemas.openxmlformats.org/officeDocument/2006/relationships/hyperlink" Target="https://www.skills.google/public_profiles/d2cf66ed-a4b6-4001-ae81-bac2efd961f5" TargetMode="External"/><Relationship Id="rId28" Type="http://schemas.openxmlformats.org/officeDocument/2006/relationships/hyperlink" Target="https://www.skills.google/public_profiles/6a5eec82-8b60-4a88-9854-71260e8b3dcb" TargetMode="External"/><Relationship Id="rId10" Type="http://schemas.openxmlformats.org/officeDocument/2006/relationships/hyperlink" Target="https://www.skills.google/public_profiles/c03264ed-091b-4e83-979b-7efc362588fa" TargetMode="External"/><Relationship Id="rId19" Type="http://schemas.openxmlformats.org/officeDocument/2006/relationships/hyperlink" Target="https://www.skills.google/public_profiles/60207089-7f50-4e18-86cc-27a8cba7b288" TargetMode="External"/><Relationship Id="rId4" Type="http://schemas.openxmlformats.org/officeDocument/2006/relationships/hyperlink" Target="https://www.skills.google/public_profiles/b818b6f3-fa81-4a1e-b182-1ed209d19463" TargetMode="External"/><Relationship Id="rId9" Type="http://schemas.openxmlformats.org/officeDocument/2006/relationships/hyperlink" Target="https://www.skills.google/public_profiles/a1f238aa-ccf4-4151-bcbe-3fc90f4af7f2" TargetMode="External"/><Relationship Id="rId14" Type="http://schemas.openxmlformats.org/officeDocument/2006/relationships/hyperlink" Target="https://www.skills.google/public_profiles/21053c0c-6229-4327-b55b-831273556c0b" TargetMode="External"/><Relationship Id="rId22" Type="http://schemas.openxmlformats.org/officeDocument/2006/relationships/hyperlink" Target="https://www.skills.google/public_profiles/6a862fbf-9929-48d2-bfc5-cc069ead002c" TargetMode="External"/><Relationship Id="rId27" Type="http://schemas.openxmlformats.org/officeDocument/2006/relationships/hyperlink" Target="https://www.skills.google/public_profiles/c12cd2ce-8770-4076-b9cd-594a79e944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workbookViewId="0">
      <selection activeCell="R1" sqref="R1:S116"/>
    </sheetView>
  </sheetViews>
  <sheetFormatPr defaultRowHeight="15" x14ac:dyDescent="0.25"/>
  <cols>
    <col min="1" max="1" width="44.85546875" bestFit="1" customWidth="1"/>
    <col min="2" max="2" width="15.5703125" hidden="1" customWidth="1"/>
    <col min="3" max="5" width="9.140625" hidden="1" customWidth="1"/>
    <col min="6" max="6" width="5.5703125" style="4" hidden="1" customWidth="1"/>
    <col min="7" max="7" width="9.140625" hidden="1" customWidth="1"/>
    <col min="8" max="8" width="4.85546875" style="5" customWidth="1"/>
    <col min="9" max="9" width="12.85546875" style="44" customWidth="1"/>
    <col min="10" max="10" width="12.85546875" style="8" customWidth="1"/>
    <col min="11" max="11" width="4.85546875" style="4" customWidth="1"/>
    <col min="12" max="12" width="12.85546875" style="44" customWidth="1"/>
    <col min="13" max="13" width="12.85546875" style="8" customWidth="1"/>
    <col min="14" max="14" width="5.28515625" style="4" customWidth="1"/>
    <col min="15" max="15" width="12.85546875" style="45" customWidth="1"/>
    <col min="16" max="16" width="12.85546875" customWidth="1"/>
    <col min="17" max="17" width="12.85546875" style="44" customWidth="1"/>
    <col min="18" max="19" width="12.85546875" style="3" customWidth="1"/>
  </cols>
  <sheetData>
    <row r="1" spans="1:19" ht="45" x14ac:dyDescent="0.25">
      <c r="A1" s="34" t="s">
        <v>151</v>
      </c>
      <c r="B1" s="35" t="s">
        <v>0</v>
      </c>
      <c r="C1" s="35" t="s">
        <v>1</v>
      </c>
      <c r="D1" s="35" t="s">
        <v>151</v>
      </c>
      <c r="E1" s="35" t="s">
        <v>2</v>
      </c>
      <c r="F1" s="36" t="s">
        <v>153</v>
      </c>
      <c r="G1" s="35" t="s">
        <v>154</v>
      </c>
      <c r="H1" s="37" t="s">
        <v>155</v>
      </c>
      <c r="I1" s="42" t="s">
        <v>156</v>
      </c>
      <c r="J1" s="38" t="s">
        <v>157</v>
      </c>
      <c r="K1" s="36" t="s">
        <v>165</v>
      </c>
      <c r="L1" s="42" t="s">
        <v>166</v>
      </c>
      <c r="M1" s="38" t="s">
        <v>167</v>
      </c>
      <c r="N1" s="36" t="s">
        <v>171</v>
      </c>
      <c r="O1" s="42" t="s">
        <v>172</v>
      </c>
      <c r="P1" s="39" t="s">
        <v>173</v>
      </c>
      <c r="Q1" s="46" t="s">
        <v>183</v>
      </c>
      <c r="R1" s="47" t="s">
        <v>182</v>
      </c>
      <c r="S1" s="47" t="s">
        <v>181</v>
      </c>
    </row>
    <row r="2" spans="1:19" x14ac:dyDescent="0.25">
      <c r="A2" s="17" t="str">
        <f>_xlfn.CONCAT(B2,"  ",C2)</f>
        <v>ALEX  KAZUO KODAMA</v>
      </c>
      <c r="B2" s="10" t="s">
        <v>43</v>
      </c>
      <c r="C2" s="10" t="s">
        <v>44</v>
      </c>
      <c r="D2" s="11" t="s">
        <v>152</v>
      </c>
      <c r="E2" s="10" t="s">
        <v>45</v>
      </c>
      <c r="F2" s="18">
        <v>5</v>
      </c>
      <c r="G2" s="19" t="s">
        <v>122</v>
      </c>
      <c r="H2" s="20">
        <v>1</v>
      </c>
      <c r="I2" s="43">
        <v>10</v>
      </c>
      <c r="J2" s="21"/>
      <c r="K2" s="18">
        <v>1</v>
      </c>
      <c r="L2" s="43">
        <v>10</v>
      </c>
      <c r="M2" s="22" t="s">
        <v>170</v>
      </c>
      <c r="N2" s="18">
        <v>1</v>
      </c>
      <c r="O2" s="43">
        <v>9</v>
      </c>
      <c r="P2" s="9" t="s">
        <v>179</v>
      </c>
      <c r="Q2" s="43">
        <f>IF(F2&gt;=4,10,IF(F2=3,5,0))</f>
        <v>10</v>
      </c>
      <c r="R2" s="48">
        <f>ROUND(AVERAGE(Q2,I2,L2,O2),0.5)</f>
        <v>10</v>
      </c>
      <c r="S2" s="48">
        <v>4.5</v>
      </c>
    </row>
    <row r="3" spans="1:19" x14ac:dyDescent="0.25">
      <c r="A3" s="17" t="str">
        <f>_xlfn.CONCAT(B3,"  ",C3)</f>
        <v>ANDRE  MOREIRA GUIMARAES</v>
      </c>
      <c r="B3" s="10" t="s">
        <v>71</v>
      </c>
      <c r="C3" s="10" t="s">
        <v>72</v>
      </c>
      <c r="D3" s="10"/>
      <c r="E3" s="10" t="s">
        <v>73</v>
      </c>
      <c r="F3" s="18"/>
      <c r="G3" s="23"/>
      <c r="H3" s="20">
        <v>7</v>
      </c>
      <c r="I3" s="43">
        <v>10</v>
      </c>
      <c r="J3" s="24" t="s">
        <v>162</v>
      </c>
      <c r="K3" s="18">
        <v>7</v>
      </c>
      <c r="L3" s="43">
        <v>9</v>
      </c>
      <c r="M3" s="15" t="s">
        <v>169</v>
      </c>
      <c r="N3" s="18">
        <v>7</v>
      </c>
      <c r="O3" s="43">
        <v>9</v>
      </c>
      <c r="P3" s="9" t="s">
        <v>177</v>
      </c>
      <c r="Q3" s="43">
        <f>IF(F3&gt;=4,10,IF(F3=3,5,0))</f>
        <v>0</v>
      </c>
      <c r="R3" s="48">
        <f>ROUND(AVERAGE(Q3,I3,L3,O3),0.5)</f>
        <v>7</v>
      </c>
      <c r="S3" s="48">
        <v>8.5</v>
      </c>
    </row>
    <row r="4" spans="1:19" x14ac:dyDescent="0.25">
      <c r="A4" s="17" t="str">
        <f>_xlfn.CONCAT(B4,"  ",C4)</f>
        <v>ANNA  LUIZA STELLA SANTOS</v>
      </c>
      <c r="B4" s="10" t="s">
        <v>62</v>
      </c>
      <c r="C4" s="10" t="s">
        <v>63</v>
      </c>
      <c r="D4" s="10"/>
      <c r="E4" s="10" t="s">
        <v>64</v>
      </c>
      <c r="F4" s="18">
        <v>3</v>
      </c>
      <c r="G4" s="19" t="s">
        <v>123</v>
      </c>
      <c r="H4" s="20">
        <v>2</v>
      </c>
      <c r="I4" s="43">
        <v>8</v>
      </c>
      <c r="J4" s="15" t="s">
        <v>158</v>
      </c>
      <c r="K4" s="18">
        <v>2</v>
      </c>
      <c r="L4" s="43">
        <v>9</v>
      </c>
      <c r="M4" s="15" t="s">
        <v>169</v>
      </c>
      <c r="N4" s="18">
        <v>2</v>
      </c>
      <c r="O4" s="43">
        <v>10</v>
      </c>
      <c r="P4" s="25" t="s">
        <v>174</v>
      </c>
      <c r="Q4" s="43">
        <f>IF(F4&gt;=4,10,IF(F4=3,5,0))</f>
        <v>5</v>
      </c>
      <c r="R4" s="48">
        <f>ROUND(AVERAGE(Q4,I4,L4,O4),0.5)</f>
        <v>8</v>
      </c>
      <c r="S4" s="48"/>
    </row>
    <row r="5" spans="1:19" x14ac:dyDescent="0.25">
      <c r="A5" s="26" t="str">
        <f>_xlfn.CONCAT(B5,"  ",C5)</f>
        <v>BEATRIZ  LIMA DE MOURA</v>
      </c>
      <c r="B5" s="27" t="s">
        <v>56</v>
      </c>
      <c r="C5" s="27" t="s">
        <v>57</v>
      </c>
      <c r="D5" s="27"/>
      <c r="E5" s="27" t="s">
        <v>58</v>
      </c>
      <c r="F5" s="28">
        <v>4</v>
      </c>
      <c r="G5" s="29" t="s">
        <v>124</v>
      </c>
      <c r="H5" s="30">
        <v>3</v>
      </c>
      <c r="I5" s="42">
        <v>4</v>
      </c>
      <c r="J5" s="31" t="s">
        <v>159</v>
      </c>
      <c r="K5" s="28">
        <v>3</v>
      </c>
      <c r="L5" s="42">
        <v>10</v>
      </c>
      <c r="M5" s="32"/>
      <c r="N5" s="28">
        <v>3</v>
      </c>
      <c r="O5" s="42">
        <v>10</v>
      </c>
      <c r="P5" s="33" t="s">
        <v>178</v>
      </c>
      <c r="Q5" s="42">
        <f>IF(F5&gt;=4,10,IF(F5=3,5,0))</f>
        <v>10</v>
      </c>
      <c r="R5" s="49">
        <f>ROUND(AVERAGE(Q5,I5,L5,O5),0.5)</f>
        <v>9</v>
      </c>
      <c r="S5" s="49"/>
    </row>
    <row r="6" spans="1:19" x14ac:dyDescent="0.25">
      <c r="A6" s="9" t="str">
        <f>_xlfn.CONCAT(B6,"  ",C6)</f>
        <v>BERNARDO  SOUZA OLIVEIRA</v>
      </c>
      <c r="B6" s="10" t="s">
        <v>104</v>
      </c>
      <c r="C6" s="10" t="s">
        <v>105</v>
      </c>
      <c r="D6" s="11"/>
      <c r="E6" s="10" t="s">
        <v>106</v>
      </c>
      <c r="F6" s="12">
        <v>5</v>
      </c>
      <c r="G6" s="13" t="s">
        <v>125</v>
      </c>
      <c r="H6" s="14">
        <v>7</v>
      </c>
      <c r="I6" s="43">
        <v>10</v>
      </c>
      <c r="J6" s="15"/>
      <c r="K6" s="12">
        <v>7</v>
      </c>
      <c r="L6" s="43">
        <v>9</v>
      </c>
      <c r="M6" s="15"/>
      <c r="N6" s="12">
        <v>7</v>
      </c>
      <c r="O6" s="43">
        <v>9</v>
      </c>
      <c r="P6" s="16"/>
      <c r="Q6" s="43">
        <f>IF(F6&gt;=4,10,IF(F6=3,5,0))</f>
        <v>10</v>
      </c>
      <c r="R6" s="48">
        <f>ROUND(AVERAGE(Q6,I6,L6,O6),0.5)</f>
        <v>10</v>
      </c>
      <c r="S6" s="48"/>
    </row>
    <row r="7" spans="1:19" x14ac:dyDescent="0.25">
      <c r="A7" s="17" t="str">
        <f>_xlfn.CONCAT(B7,"  ",C7)</f>
        <v>BRUNA  AGUIAR MUCHIUTI</v>
      </c>
      <c r="B7" s="10" t="s">
        <v>3</v>
      </c>
      <c r="C7" s="10" t="s">
        <v>4</v>
      </c>
      <c r="D7" s="11"/>
      <c r="E7" s="10" t="s">
        <v>5</v>
      </c>
      <c r="F7" s="18">
        <v>5</v>
      </c>
      <c r="G7" s="19" t="s">
        <v>150</v>
      </c>
      <c r="H7" s="20">
        <v>9</v>
      </c>
      <c r="I7" s="43">
        <v>10</v>
      </c>
      <c r="J7" s="21" t="s">
        <v>163</v>
      </c>
      <c r="K7" s="18">
        <v>9</v>
      </c>
      <c r="L7" s="43">
        <v>10</v>
      </c>
      <c r="M7" s="22"/>
      <c r="N7" s="18">
        <v>9</v>
      </c>
      <c r="O7" s="43">
        <v>10</v>
      </c>
      <c r="P7" s="9"/>
      <c r="Q7" s="43">
        <f>IF(F7&gt;=4,10,IF(F7=3,5,0))</f>
        <v>10</v>
      </c>
      <c r="R7" s="48">
        <f>ROUND(AVERAGE(Q7,I7,L7,O7),0.5)</f>
        <v>10</v>
      </c>
      <c r="S7" s="48"/>
    </row>
    <row r="8" spans="1:19" x14ac:dyDescent="0.25">
      <c r="A8" s="17" t="str">
        <f>_xlfn.CONCAT(B8,"  ",C8)</f>
        <v>BRUNO  ANTICO GALIN</v>
      </c>
      <c r="B8" s="10" t="s">
        <v>10</v>
      </c>
      <c r="C8" s="10" t="s">
        <v>11</v>
      </c>
      <c r="D8" s="10"/>
      <c r="E8" s="10" t="s">
        <v>12</v>
      </c>
      <c r="F8" s="18">
        <v>5</v>
      </c>
      <c r="G8" s="23" t="s">
        <v>126</v>
      </c>
      <c r="H8" s="20">
        <v>4</v>
      </c>
      <c r="I8" s="43">
        <v>2</v>
      </c>
      <c r="J8" s="24" t="s">
        <v>160</v>
      </c>
      <c r="K8" s="18">
        <v>4</v>
      </c>
      <c r="L8" s="43">
        <v>6</v>
      </c>
      <c r="M8" s="15" t="s">
        <v>168</v>
      </c>
      <c r="N8" s="18">
        <v>4</v>
      </c>
      <c r="O8" s="43">
        <v>10</v>
      </c>
      <c r="P8" s="9" t="s">
        <v>175</v>
      </c>
      <c r="Q8" s="43">
        <f>IF(F8&gt;=4,10,IF(F8=3,5,0))</f>
        <v>10</v>
      </c>
      <c r="R8" s="48">
        <f>ROUND(AVERAGE(Q8,I8,L8,O8),0.5)</f>
        <v>7</v>
      </c>
      <c r="S8" s="48">
        <v>6</v>
      </c>
    </row>
    <row r="9" spans="1:19" x14ac:dyDescent="0.25">
      <c r="A9" s="17" t="str">
        <f>_xlfn.CONCAT(B9,"  ",C9)</f>
        <v>BRUNO  LAUAND FERRAO</v>
      </c>
      <c r="B9" s="10" t="s">
        <v>10</v>
      </c>
      <c r="C9" s="10" t="s">
        <v>52</v>
      </c>
      <c r="D9" s="10"/>
      <c r="E9" s="10" t="s">
        <v>53</v>
      </c>
      <c r="F9" s="18">
        <v>3</v>
      </c>
      <c r="G9" s="19" t="s">
        <v>127</v>
      </c>
      <c r="H9" s="20">
        <v>5</v>
      </c>
      <c r="I9" s="43">
        <v>8</v>
      </c>
      <c r="J9" s="15" t="s">
        <v>161</v>
      </c>
      <c r="K9" s="18">
        <v>5</v>
      </c>
      <c r="L9" s="43">
        <v>9</v>
      </c>
      <c r="M9" s="15" t="s">
        <v>161</v>
      </c>
      <c r="N9" s="18">
        <v>5</v>
      </c>
      <c r="O9" s="43">
        <v>10</v>
      </c>
      <c r="P9" s="25" t="s">
        <v>176</v>
      </c>
      <c r="Q9" s="43">
        <f>IF(F9&gt;=4,10,IF(F9=3,5,0))</f>
        <v>5</v>
      </c>
      <c r="R9" s="48">
        <f>ROUND(AVERAGE(Q9,I9,L9,O9),0.5)</f>
        <v>8</v>
      </c>
      <c r="S9" s="48">
        <v>8.5</v>
      </c>
    </row>
    <row r="10" spans="1:19" x14ac:dyDescent="0.25">
      <c r="A10" s="26" t="str">
        <f>_xlfn.CONCAT(B10,"  ",C10)</f>
        <v>CAUE  MACEDO DE SOUZA</v>
      </c>
      <c r="B10" s="27" t="s">
        <v>65</v>
      </c>
      <c r="C10" s="27" t="s">
        <v>66</v>
      </c>
      <c r="D10" s="27"/>
      <c r="E10" s="27" t="s">
        <v>67</v>
      </c>
      <c r="F10" s="28"/>
      <c r="G10" s="29"/>
      <c r="H10" s="30"/>
      <c r="I10" s="42"/>
      <c r="J10" s="31"/>
      <c r="K10" s="28"/>
      <c r="L10" s="42"/>
      <c r="M10" s="32"/>
      <c r="N10" s="28"/>
      <c r="O10" s="42"/>
      <c r="P10" s="33"/>
      <c r="Q10" s="42">
        <f>IF(F10&gt;=4,10,IF(F10=3,5,0))</f>
        <v>0</v>
      </c>
      <c r="R10" s="49">
        <f>ROUND(AVERAGE(Q10,I10,L10,O10),0.5)</f>
        <v>0</v>
      </c>
      <c r="S10" s="49">
        <v>4</v>
      </c>
    </row>
    <row r="11" spans="1:19" x14ac:dyDescent="0.25">
      <c r="A11" s="9" t="str">
        <f>_xlfn.CONCAT(B11,"  ",C11)</f>
        <v>CLEVERSON  PEREIRA DA SILVA</v>
      </c>
      <c r="B11" s="10" t="s">
        <v>83</v>
      </c>
      <c r="C11" s="10" t="s">
        <v>84</v>
      </c>
      <c r="D11" s="11"/>
      <c r="E11" s="10" t="s">
        <v>85</v>
      </c>
      <c r="F11" s="12">
        <v>5</v>
      </c>
      <c r="G11" s="13" t="s">
        <v>128</v>
      </c>
      <c r="H11" s="14">
        <v>4</v>
      </c>
      <c r="I11" s="43">
        <v>2</v>
      </c>
      <c r="J11" s="15"/>
      <c r="K11" s="12">
        <v>4</v>
      </c>
      <c r="L11" s="43">
        <v>6</v>
      </c>
      <c r="M11" s="15"/>
      <c r="N11" s="12">
        <v>4</v>
      </c>
      <c r="O11" s="43">
        <v>10</v>
      </c>
      <c r="P11" s="16"/>
      <c r="Q11" s="43">
        <f>IF(F11&gt;=4,10,IF(F11=3,5,0))</f>
        <v>10</v>
      </c>
      <c r="R11" s="48">
        <f>ROUND(AVERAGE(Q11,I11,L11,O11),0.5)</f>
        <v>7</v>
      </c>
      <c r="S11" s="48">
        <v>8</v>
      </c>
    </row>
    <row r="12" spans="1:19" x14ac:dyDescent="0.25">
      <c r="A12" s="17" t="str">
        <f>_xlfn.CONCAT(B12,"  ",C12)</f>
        <v>EDUARDO  OLIVEIRA CARVALHO</v>
      </c>
      <c r="B12" s="10" t="s">
        <v>77</v>
      </c>
      <c r="C12" s="10" t="s">
        <v>78</v>
      </c>
      <c r="D12" s="11"/>
      <c r="E12" s="10" t="s">
        <v>79</v>
      </c>
      <c r="F12" s="18">
        <v>5</v>
      </c>
      <c r="G12" s="19" t="s">
        <v>129</v>
      </c>
      <c r="H12" s="20">
        <v>6</v>
      </c>
      <c r="I12" s="43">
        <v>10</v>
      </c>
      <c r="J12" s="21"/>
      <c r="K12" s="18">
        <v>6</v>
      </c>
      <c r="L12" s="43">
        <v>10</v>
      </c>
      <c r="M12" s="22"/>
      <c r="N12" s="18"/>
      <c r="O12" s="43"/>
      <c r="P12" s="9"/>
      <c r="Q12" s="43">
        <f>IF(F12&gt;=4,10,IF(F12=3,5,0))</f>
        <v>10</v>
      </c>
      <c r="R12" s="48">
        <f>ROUND(AVERAGE(Q12,I12,L12,O12),0.5)</f>
        <v>10</v>
      </c>
      <c r="S12" s="48">
        <v>7.5</v>
      </c>
    </row>
    <row r="13" spans="1:19" x14ac:dyDescent="0.25">
      <c r="A13" s="17" t="str">
        <f>_xlfn.CONCAT(B13,"  ",C13)</f>
        <v>EDUARDO  TAKASHI MISSAKA</v>
      </c>
      <c r="B13" s="10" t="s">
        <v>77</v>
      </c>
      <c r="C13" s="10" t="s">
        <v>107</v>
      </c>
      <c r="D13" s="10"/>
      <c r="E13" s="10" t="s">
        <v>108</v>
      </c>
      <c r="F13" s="18">
        <v>5</v>
      </c>
      <c r="G13" s="23" t="s">
        <v>130</v>
      </c>
      <c r="H13" s="20">
        <v>4</v>
      </c>
      <c r="I13" s="43">
        <v>2</v>
      </c>
      <c r="J13" s="24"/>
      <c r="K13" s="18">
        <v>4</v>
      </c>
      <c r="L13" s="43">
        <v>6</v>
      </c>
      <c r="M13" s="15"/>
      <c r="N13" s="18">
        <v>4</v>
      </c>
      <c r="O13" s="43">
        <v>10</v>
      </c>
      <c r="P13" s="9"/>
      <c r="Q13" s="43">
        <f>IF(F13&gt;=4,10,IF(F13=3,5,0))</f>
        <v>10</v>
      </c>
      <c r="R13" s="48">
        <f>ROUND(AVERAGE(Q13,I13,L13,O13),0.5)</f>
        <v>7</v>
      </c>
      <c r="S13" s="48">
        <v>3</v>
      </c>
    </row>
    <row r="14" spans="1:19" x14ac:dyDescent="0.25">
      <c r="A14" s="17" t="str">
        <f>_xlfn.CONCAT(B14,"  ",C14)</f>
        <v>ENZO  BENEDETTO PROENCA</v>
      </c>
      <c r="B14" s="10" t="s">
        <v>22</v>
      </c>
      <c r="C14" s="10" t="s">
        <v>23</v>
      </c>
      <c r="D14" s="10"/>
      <c r="E14" s="10" t="s">
        <v>24</v>
      </c>
      <c r="F14" s="18">
        <v>5</v>
      </c>
      <c r="G14" s="19" t="s">
        <v>131</v>
      </c>
      <c r="H14" s="20" t="s">
        <v>8</v>
      </c>
      <c r="I14" s="43"/>
      <c r="J14" s="15"/>
      <c r="K14" s="18">
        <v>11</v>
      </c>
      <c r="L14" s="43">
        <v>8</v>
      </c>
      <c r="M14" s="15" t="s">
        <v>161</v>
      </c>
      <c r="N14" s="12" t="s">
        <v>8</v>
      </c>
      <c r="O14" s="43"/>
      <c r="P14" s="25"/>
      <c r="Q14" s="43">
        <f>IF(F14&gt;=4,10,IF(F14=3,5,0))</f>
        <v>10</v>
      </c>
      <c r="R14" s="48">
        <f>ROUND(AVERAGE(Q14,I14,L14,O14),0.5)</f>
        <v>9</v>
      </c>
      <c r="S14" s="48">
        <v>4</v>
      </c>
    </row>
    <row r="15" spans="1:19" x14ac:dyDescent="0.25">
      <c r="A15" s="26" t="str">
        <f>_xlfn.CONCAT(B15,"  ",C15)</f>
        <v>FELIPE  VIVIANI SCHULZE</v>
      </c>
      <c r="B15" s="27" t="s">
        <v>113</v>
      </c>
      <c r="C15" s="27" t="s">
        <v>114</v>
      </c>
      <c r="D15" s="27"/>
      <c r="E15" s="27" t="s">
        <v>115</v>
      </c>
      <c r="F15" s="28">
        <v>4</v>
      </c>
      <c r="G15" s="29" t="s">
        <v>132</v>
      </c>
      <c r="H15" s="30">
        <v>6</v>
      </c>
      <c r="I15" s="42">
        <v>10</v>
      </c>
      <c r="J15" s="31"/>
      <c r="K15" s="28">
        <v>6</v>
      </c>
      <c r="L15" s="42">
        <v>10</v>
      </c>
      <c r="M15" s="32"/>
      <c r="N15" s="28"/>
      <c r="O15" s="42"/>
      <c r="P15" s="33"/>
      <c r="Q15" s="42">
        <f>IF(F15&gt;=4,10,IF(F15=3,5,0))</f>
        <v>10</v>
      </c>
      <c r="R15" s="49">
        <f>ROUND(AVERAGE(Q15,I15,L15,O15),0.5)</f>
        <v>10</v>
      </c>
      <c r="S15" s="49">
        <v>5</v>
      </c>
    </row>
    <row r="16" spans="1:19" x14ac:dyDescent="0.25">
      <c r="A16" s="9" t="str">
        <f>_xlfn.CONCAT(B16,"  ",C16)</f>
        <v>FERNANDO  MATHIAS FERRO DOS SANTOS</v>
      </c>
      <c r="B16" s="10" t="s">
        <v>68</v>
      </c>
      <c r="C16" s="10" t="s">
        <v>69</v>
      </c>
      <c r="D16" s="11"/>
      <c r="E16" s="10" t="s">
        <v>70</v>
      </c>
      <c r="F16" s="12">
        <v>5</v>
      </c>
      <c r="G16" s="13" t="s">
        <v>133</v>
      </c>
      <c r="H16" s="14">
        <v>6</v>
      </c>
      <c r="I16" s="43">
        <v>10</v>
      </c>
      <c r="J16" s="15"/>
      <c r="K16" s="12">
        <v>6</v>
      </c>
      <c r="L16" s="43">
        <v>10</v>
      </c>
      <c r="M16" s="15"/>
      <c r="N16" s="12"/>
      <c r="O16" s="43"/>
      <c r="P16" s="16"/>
      <c r="Q16" s="43">
        <f>IF(F16&gt;=4,10,IF(F16=3,5,0))</f>
        <v>10</v>
      </c>
      <c r="R16" s="48">
        <f>ROUND(AVERAGE(Q16,I16,L16,O16),0.5)</f>
        <v>10</v>
      </c>
      <c r="S16" s="48">
        <v>5</v>
      </c>
    </row>
    <row r="17" spans="1:19" x14ac:dyDescent="0.25">
      <c r="A17" s="17" t="str">
        <f>_xlfn.CONCAT(B17,"  ",C17)</f>
        <v>FRANCISCO  LOSADA TOTARO</v>
      </c>
      <c r="B17" s="10" t="s">
        <v>59</v>
      </c>
      <c r="C17" s="10" t="s">
        <v>60</v>
      </c>
      <c r="D17" s="11"/>
      <c r="E17" s="10" t="s">
        <v>61</v>
      </c>
      <c r="F17" s="18">
        <v>5</v>
      </c>
      <c r="G17" s="19" t="s">
        <v>134</v>
      </c>
      <c r="H17" s="20">
        <v>6</v>
      </c>
      <c r="I17" s="43">
        <v>10</v>
      </c>
      <c r="J17" s="21"/>
      <c r="K17" s="18">
        <v>6</v>
      </c>
      <c r="L17" s="43">
        <v>10</v>
      </c>
      <c r="M17" s="22"/>
      <c r="N17" s="18"/>
      <c r="O17" s="43"/>
      <c r="P17" s="9"/>
      <c r="Q17" s="43">
        <f>IF(F17&gt;=4,10,IF(F17=3,5,0))</f>
        <v>10</v>
      </c>
      <c r="R17" s="48">
        <f>ROUND(AVERAGE(Q17,I17,L17,O17),0.5)</f>
        <v>10</v>
      </c>
      <c r="S17" s="48">
        <v>3.5</v>
      </c>
    </row>
    <row r="18" spans="1:19" x14ac:dyDescent="0.25">
      <c r="A18" s="17" t="str">
        <f>_xlfn.CONCAT(B18,"  ",C18)</f>
        <v>GABRIEL  KEN KAZAMA GERONAZZO</v>
      </c>
      <c r="B18" s="10" t="s">
        <v>46</v>
      </c>
      <c r="C18" s="10" t="s">
        <v>47</v>
      </c>
      <c r="D18" s="10"/>
      <c r="E18" s="10" t="s">
        <v>48</v>
      </c>
      <c r="F18" s="18">
        <v>5</v>
      </c>
      <c r="G18" s="23" t="s">
        <v>135</v>
      </c>
      <c r="H18" s="20">
        <v>9</v>
      </c>
      <c r="I18" s="43">
        <v>10</v>
      </c>
      <c r="J18" s="24"/>
      <c r="K18" s="18">
        <v>9</v>
      </c>
      <c r="L18" s="43">
        <v>10</v>
      </c>
      <c r="M18" s="15"/>
      <c r="N18" s="18">
        <v>9</v>
      </c>
      <c r="O18" s="43">
        <v>10</v>
      </c>
      <c r="P18" s="9"/>
      <c r="Q18" s="43">
        <f>IF(F18&gt;=4,10,IF(F18=3,5,0))</f>
        <v>10</v>
      </c>
      <c r="R18" s="48">
        <f>ROUND(AVERAGE(Q18,I18,L18,O18),0.5)</f>
        <v>10</v>
      </c>
      <c r="S18" s="48">
        <v>6</v>
      </c>
    </row>
    <row r="19" spans="1:19" x14ac:dyDescent="0.25">
      <c r="A19" s="17" t="str">
        <f>_xlfn.CONCAT(B19,"  ",C19)</f>
        <v>GABRIEL  LAZARETI CARDOSO</v>
      </c>
      <c r="B19" s="10" t="s">
        <v>46</v>
      </c>
      <c r="C19" s="10" t="s">
        <v>54</v>
      </c>
      <c r="D19" s="10"/>
      <c r="E19" s="10" t="s">
        <v>55</v>
      </c>
      <c r="F19" s="18"/>
      <c r="G19" s="19"/>
      <c r="H19" s="20">
        <v>8</v>
      </c>
      <c r="I19" s="43">
        <v>10</v>
      </c>
      <c r="J19" s="15"/>
      <c r="K19" s="18">
        <v>8</v>
      </c>
      <c r="L19" s="43">
        <v>10</v>
      </c>
      <c r="M19" s="15"/>
      <c r="N19" s="18">
        <v>8</v>
      </c>
      <c r="O19" s="43">
        <v>10</v>
      </c>
      <c r="P19" s="25"/>
      <c r="Q19" s="43">
        <f>IF(F19&gt;=4,10,IF(F19=3,5,0))</f>
        <v>0</v>
      </c>
      <c r="R19" s="48">
        <f>ROUND(AVERAGE(Q19,I19,L19,O19),0.5)</f>
        <v>8</v>
      </c>
      <c r="S19" s="48"/>
    </row>
    <row r="20" spans="1:19" x14ac:dyDescent="0.25">
      <c r="A20" s="26" t="str">
        <f>_xlfn.CONCAT(B20,"  ",C20)</f>
        <v>GABRIEL  TORTOLIO FONSECA</v>
      </c>
      <c r="B20" s="27" t="s">
        <v>46</v>
      </c>
      <c r="C20" s="27" t="s">
        <v>109</v>
      </c>
      <c r="D20" s="27"/>
      <c r="E20" s="27" t="s">
        <v>110</v>
      </c>
      <c r="F20" s="28"/>
      <c r="G20" s="29"/>
      <c r="H20" s="30">
        <v>1</v>
      </c>
      <c r="I20" s="42">
        <v>10</v>
      </c>
      <c r="J20" s="31"/>
      <c r="K20" s="28">
        <v>1</v>
      </c>
      <c r="L20" s="42">
        <v>10</v>
      </c>
      <c r="M20" s="32"/>
      <c r="N20" s="28">
        <v>1</v>
      </c>
      <c r="O20" s="42">
        <v>9</v>
      </c>
      <c r="P20" s="33"/>
      <c r="Q20" s="42">
        <f>IF(F20&gt;=4,10,IF(F20=3,5,0))</f>
        <v>0</v>
      </c>
      <c r="R20" s="49">
        <f>ROUND(AVERAGE(Q20,I20,L20,O20),0.5)</f>
        <v>7</v>
      </c>
      <c r="S20" s="49">
        <v>6</v>
      </c>
    </row>
    <row r="21" spans="1:19" x14ac:dyDescent="0.25">
      <c r="A21" s="9" t="str">
        <f>_xlfn.CONCAT(B21,"  ",C21)</f>
        <v>GIOVANA  SIMOES FRANCO</v>
      </c>
      <c r="B21" s="10" t="s">
        <v>101</v>
      </c>
      <c r="C21" s="10" t="s">
        <v>102</v>
      </c>
      <c r="D21" s="11"/>
      <c r="E21" s="10" t="s">
        <v>103</v>
      </c>
      <c r="F21" s="12">
        <v>3</v>
      </c>
      <c r="G21" s="13" t="s">
        <v>136</v>
      </c>
      <c r="H21" s="14">
        <v>3</v>
      </c>
      <c r="I21" s="43">
        <v>4</v>
      </c>
      <c r="J21" s="15"/>
      <c r="K21" s="12">
        <v>3</v>
      </c>
      <c r="L21" s="43">
        <v>10</v>
      </c>
      <c r="M21" s="15"/>
      <c r="N21" s="12">
        <v>3</v>
      </c>
      <c r="O21" s="43">
        <v>10</v>
      </c>
      <c r="P21" s="16"/>
      <c r="Q21" s="43">
        <f>IF(F21&gt;=4,10,IF(F21=3,5,0))</f>
        <v>5</v>
      </c>
      <c r="R21" s="48">
        <f>ROUND(AVERAGE(Q21,I21,L21,O21),0.5)</f>
        <v>7</v>
      </c>
      <c r="S21" s="48"/>
    </row>
    <row r="22" spans="1:19" x14ac:dyDescent="0.25">
      <c r="A22" s="17" t="str">
        <f>_xlfn.CONCAT(B22,"  ",C22)</f>
        <v>GUILHERME  FERREIRA MARTINS RAMOS</v>
      </c>
      <c r="B22" s="10" t="s">
        <v>34</v>
      </c>
      <c r="C22" s="10" t="s">
        <v>35</v>
      </c>
      <c r="D22" s="11"/>
      <c r="E22" s="10" t="s">
        <v>36</v>
      </c>
      <c r="F22" s="18">
        <v>4</v>
      </c>
      <c r="G22" s="19" t="s">
        <v>137</v>
      </c>
      <c r="H22" s="20">
        <v>6</v>
      </c>
      <c r="I22" s="43">
        <v>10</v>
      </c>
      <c r="J22" s="21"/>
      <c r="K22" s="18">
        <v>6</v>
      </c>
      <c r="L22" s="43">
        <v>10</v>
      </c>
      <c r="M22" s="22"/>
      <c r="N22" s="18"/>
      <c r="O22" s="43"/>
      <c r="P22" s="9"/>
      <c r="Q22" s="43">
        <f>IF(F22&gt;=4,10,IF(F22=3,5,0))</f>
        <v>10</v>
      </c>
      <c r="R22" s="48">
        <f>ROUND(AVERAGE(Q22,I22,L22,O22),0.5)</f>
        <v>10</v>
      </c>
      <c r="S22" s="48">
        <v>8</v>
      </c>
    </row>
    <row r="23" spans="1:19" x14ac:dyDescent="0.25">
      <c r="A23" s="17" t="str">
        <f>_xlfn.CONCAT(B23,"  ",C23)</f>
        <v>GUSTAVO  KENZO NAKAZATO SLEIMAN</v>
      </c>
      <c r="B23" s="10" t="s">
        <v>49</v>
      </c>
      <c r="C23" s="10" t="s">
        <v>50</v>
      </c>
      <c r="D23" s="10"/>
      <c r="E23" s="10" t="s">
        <v>51</v>
      </c>
      <c r="F23" s="18"/>
      <c r="G23" s="23"/>
      <c r="H23" s="20"/>
      <c r="I23" s="43"/>
      <c r="J23" s="24"/>
      <c r="K23" s="18"/>
      <c r="L23" s="43"/>
      <c r="M23" s="15"/>
      <c r="N23" s="18"/>
      <c r="O23" s="43"/>
      <c r="P23" s="9"/>
      <c r="Q23" s="43">
        <f>IF(F23&gt;=4,10,IF(F23=3,5,0))</f>
        <v>0</v>
      </c>
      <c r="R23" s="48">
        <f>ROUND(AVERAGE(Q23,I23,L23,O23),0.5)</f>
        <v>0</v>
      </c>
      <c r="S23" s="48"/>
    </row>
    <row r="24" spans="1:19" x14ac:dyDescent="0.25">
      <c r="A24" s="17" t="str">
        <f>_xlfn.CONCAT(B24,"  ",C24)</f>
        <v>HENRIQUE  YUJI ISOGAI YONEOKA</v>
      </c>
      <c r="B24" s="10" t="s">
        <v>116</v>
      </c>
      <c r="C24" s="10" t="s">
        <v>117</v>
      </c>
      <c r="D24" s="10"/>
      <c r="E24" s="10" t="s">
        <v>118</v>
      </c>
      <c r="F24" s="18">
        <v>1</v>
      </c>
      <c r="G24" s="19" t="s">
        <v>138</v>
      </c>
      <c r="H24" s="20">
        <v>7</v>
      </c>
      <c r="I24" s="43">
        <v>10</v>
      </c>
      <c r="J24" s="15"/>
      <c r="K24" s="18">
        <v>7</v>
      </c>
      <c r="L24" s="43">
        <v>9</v>
      </c>
      <c r="M24" s="15"/>
      <c r="N24" s="18">
        <v>7</v>
      </c>
      <c r="O24" s="43">
        <v>9</v>
      </c>
      <c r="P24" s="25"/>
      <c r="Q24" s="43">
        <f>IF(F24&gt;=4,10,IF(F24=3,5,0))</f>
        <v>0</v>
      </c>
      <c r="R24" s="48">
        <f>ROUND(AVERAGE(Q24,I24,L24,O24),0.5)</f>
        <v>7</v>
      </c>
      <c r="S24" s="48">
        <v>6.5</v>
      </c>
    </row>
    <row r="25" spans="1:19" x14ac:dyDescent="0.25">
      <c r="A25" s="26" t="str">
        <f>_xlfn.CONCAT(B25,"  ",C25)</f>
        <v>ISMAEL  DE SOUSA SILVA</v>
      </c>
      <c r="B25" s="27" t="s">
        <v>28</v>
      </c>
      <c r="C25" s="27" t="s">
        <v>29</v>
      </c>
      <c r="D25" s="27"/>
      <c r="E25" s="27" t="s">
        <v>30</v>
      </c>
      <c r="F25" s="28">
        <v>2</v>
      </c>
      <c r="G25" s="29" t="s">
        <v>139</v>
      </c>
      <c r="H25" s="30">
        <v>4</v>
      </c>
      <c r="I25" s="42">
        <v>2</v>
      </c>
      <c r="J25" s="31"/>
      <c r="K25" s="28">
        <v>4</v>
      </c>
      <c r="L25" s="42">
        <v>6</v>
      </c>
      <c r="M25" s="32"/>
      <c r="N25" s="28">
        <v>4</v>
      </c>
      <c r="O25" s="42">
        <v>10</v>
      </c>
      <c r="P25" s="33"/>
      <c r="Q25" s="42">
        <f>IF(F25&gt;=4,10,IF(F25=3,5,0))</f>
        <v>0</v>
      </c>
      <c r="R25" s="49">
        <f>ROUND(AVERAGE(Q25,I25,L25,O25),0.5)</f>
        <v>5</v>
      </c>
      <c r="S25" s="49">
        <v>3</v>
      </c>
    </row>
    <row r="26" spans="1:19" x14ac:dyDescent="0.25">
      <c r="A26" s="9" t="str">
        <f>_xlfn.CONCAT(B26,"  ",C26)</f>
        <v>JESSICA  DOS SANTOS SANTANA BISPO</v>
      </c>
      <c r="B26" s="10" t="s">
        <v>31</v>
      </c>
      <c r="C26" s="10" t="s">
        <v>32</v>
      </c>
      <c r="D26" s="11"/>
      <c r="E26" s="10" t="s">
        <v>33</v>
      </c>
      <c r="F26" s="12">
        <v>5</v>
      </c>
      <c r="G26" s="13" t="s">
        <v>140</v>
      </c>
      <c r="H26" s="14">
        <v>9</v>
      </c>
      <c r="I26" s="43">
        <v>10</v>
      </c>
      <c r="J26" s="15"/>
      <c r="K26" s="12">
        <v>9</v>
      </c>
      <c r="L26" s="43">
        <v>10</v>
      </c>
      <c r="M26" s="15"/>
      <c r="N26" s="12">
        <v>9</v>
      </c>
      <c r="O26" s="43">
        <v>10</v>
      </c>
      <c r="P26" s="16"/>
      <c r="Q26" s="43">
        <f>IF(F26&gt;=4,10,IF(F26=3,5,0))</f>
        <v>10</v>
      </c>
      <c r="R26" s="48">
        <f>ROUND(AVERAGE(Q26,I26,L26,O26),0.5)</f>
        <v>10</v>
      </c>
      <c r="S26" s="48">
        <v>5</v>
      </c>
    </row>
    <row r="27" spans="1:19" x14ac:dyDescent="0.25">
      <c r="A27" s="17" t="str">
        <f>_xlfn.CONCAT(B27,"  ",C27)</f>
        <v>JOAO  ROCHA MURGEL</v>
      </c>
      <c r="B27" s="10" t="s">
        <v>92</v>
      </c>
      <c r="C27" s="10" t="s">
        <v>93</v>
      </c>
      <c r="D27" s="11"/>
      <c r="E27" s="10" t="s">
        <v>94</v>
      </c>
      <c r="F27" s="18"/>
      <c r="G27" s="19"/>
      <c r="H27" s="20">
        <v>8</v>
      </c>
      <c r="I27" s="43">
        <v>10</v>
      </c>
      <c r="J27" s="21"/>
      <c r="K27" s="18">
        <v>8</v>
      </c>
      <c r="L27" s="43">
        <v>10</v>
      </c>
      <c r="M27" s="22"/>
      <c r="N27" s="18">
        <v>8</v>
      </c>
      <c r="O27" s="43">
        <v>10</v>
      </c>
      <c r="P27" s="9"/>
      <c r="Q27" s="43">
        <f>IF(F27&gt;=4,10,IF(F27=3,5,0))</f>
        <v>0</v>
      </c>
      <c r="R27" s="48">
        <f>ROUND(AVERAGE(Q27,I27,L27,O27),0.5)</f>
        <v>8</v>
      </c>
      <c r="S27" s="48">
        <v>6</v>
      </c>
    </row>
    <row r="28" spans="1:19" x14ac:dyDescent="0.25">
      <c r="A28" s="17" t="str">
        <f>_xlfn.CONCAT(B28,"  ",C28)</f>
        <v>JOAO  VICTOR MARTINS</v>
      </c>
      <c r="B28" s="10" t="s">
        <v>92</v>
      </c>
      <c r="C28" s="10" t="s">
        <v>111</v>
      </c>
      <c r="D28" s="10"/>
      <c r="E28" s="10" t="s">
        <v>112</v>
      </c>
      <c r="F28" s="18"/>
      <c r="G28" s="23"/>
      <c r="H28" s="20">
        <v>7</v>
      </c>
      <c r="I28" s="43">
        <v>10</v>
      </c>
      <c r="J28" s="24"/>
      <c r="K28" s="18">
        <v>7</v>
      </c>
      <c r="L28" s="43">
        <v>9</v>
      </c>
      <c r="M28" s="15"/>
      <c r="N28" s="18">
        <v>7</v>
      </c>
      <c r="O28" s="43">
        <v>9</v>
      </c>
      <c r="P28" s="9"/>
      <c r="Q28" s="43">
        <f>IF(F28&gt;=4,10,IF(F28=3,5,0))</f>
        <v>0</v>
      </c>
      <c r="R28" s="48">
        <f>ROUND(AVERAGE(Q28,I28,L28,O28),0.5)</f>
        <v>7</v>
      </c>
      <c r="S28" s="48">
        <v>5</v>
      </c>
    </row>
    <row r="29" spans="1:19" x14ac:dyDescent="0.25">
      <c r="A29" s="17" t="str">
        <f>_xlfn.CONCAT(B29,"  ",C29)</f>
        <v>JULIA  SANTOS OLIVEIRA</v>
      </c>
      <c r="B29" s="10" t="s">
        <v>95</v>
      </c>
      <c r="C29" s="10" t="s">
        <v>96</v>
      </c>
      <c r="D29" s="10"/>
      <c r="E29" s="10" t="s">
        <v>97</v>
      </c>
      <c r="F29" s="18">
        <v>5</v>
      </c>
      <c r="G29" s="19" t="s">
        <v>147</v>
      </c>
      <c r="H29" s="20">
        <v>3</v>
      </c>
      <c r="I29" s="43">
        <v>4</v>
      </c>
      <c r="J29" s="15"/>
      <c r="K29" s="18">
        <v>3</v>
      </c>
      <c r="L29" s="43">
        <v>10</v>
      </c>
      <c r="M29" s="15"/>
      <c r="N29" s="18">
        <v>3</v>
      </c>
      <c r="O29" s="43">
        <v>10</v>
      </c>
      <c r="P29" s="25"/>
      <c r="Q29" s="43">
        <f>IF(F29&gt;=4,10,IF(F29=3,5,0))</f>
        <v>10</v>
      </c>
      <c r="R29" s="48">
        <f>ROUND(AVERAGE(Q29,I29,L29,O29),0.5)</f>
        <v>9</v>
      </c>
      <c r="S29" s="48">
        <v>9</v>
      </c>
    </row>
    <row r="30" spans="1:19" x14ac:dyDescent="0.25">
      <c r="A30" s="26" t="str">
        <f>_xlfn.CONCAT(B30,"  ",C30)</f>
        <v>LARISSA  YURI SATO</v>
      </c>
      <c r="B30" s="27" t="s">
        <v>119</v>
      </c>
      <c r="C30" s="27" t="s">
        <v>120</v>
      </c>
      <c r="D30" s="27"/>
      <c r="E30" s="27" t="s">
        <v>121</v>
      </c>
      <c r="F30" s="28">
        <v>5</v>
      </c>
      <c r="G30" s="29" t="s">
        <v>141</v>
      </c>
      <c r="H30" s="30">
        <v>3</v>
      </c>
      <c r="I30" s="42">
        <v>4</v>
      </c>
      <c r="J30" s="31"/>
      <c r="K30" s="28">
        <v>3</v>
      </c>
      <c r="L30" s="42">
        <v>10</v>
      </c>
      <c r="M30" s="32"/>
      <c r="N30" s="28">
        <v>3</v>
      </c>
      <c r="O30" s="42">
        <v>10</v>
      </c>
      <c r="P30" s="33"/>
      <c r="Q30" s="42">
        <f>IF(F30&gt;=4,10,IF(F30=3,5,0))</f>
        <v>10</v>
      </c>
      <c r="R30" s="49">
        <f>ROUND(AVERAGE(Q30,I30,L30,O30),0.5)</f>
        <v>9</v>
      </c>
      <c r="S30" s="49">
        <v>8</v>
      </c>
    </row>
    <row r="31" spans="1:19" x14ac:dyDescent="0.25">
      <c r="A31" s="9" t="str">
        <f>_xlfn.CONCAT(B31,"  ",C31)</f>
        <v>LEONARDO  PATRIANI CARDOSO</v>
      </c>
      <c r="B31" s="10" t="s">
        <v>80</v>
      </c>
      <c r="C31" s="10" t="s">
        <v>81</v>
      </c>
      <c r="D31" s="11"/>
      <c r="E31" s="10" t="s">
        <v>82</v>
      </c>
      <c r="F31" s="12"/>
      <c r="G31" s="13"/>
      <c r="H31" s="14">
        <v>7</v>
      </c>
      <c r="I31" s="43">
        <v>10</v>
      </c>
      <c r="J31" s="15"/>
      <c r="K31" s="12">
        <v>7</v>
      </c>
      <c r="L31" s="43">
        <v>9</v>
      </c>
      <c r="M31" s="15"/>
      <c r="N31" s="12">
        <v>7</v>
      </c>
      <c r="O31" s="43">
        <v>9</v>
      </c>
      <c r="P31" s="16"/>
      <c r="Q31" s="43">
        <f>IF(F31&gt;=4,10,IF(F31=3,5,0))</f>
        <v>0</v>
      </c>
      <c r="R31" s="48">
        <f>ROUND(AVERAGE(Q31,I31,L31,O31),0.5)</f>
        <v>7</v>
      </c>
      <c r="S31" s="48">
        <v>10</v>
      </c>
    </row>
    <row r="32" spans="1:19" x14ac:dyDescent="0.25">
      <c r="A32" s="17" t="str">
        <f>_xlfn.CONCAT(B32,"  ",C32)</f>
        <v>LIVIA  CANTOWITZ</v>
      </c>
      <c r="B32" s="10" t="s">
        <v>25</v>
      </c>
      <c r="C32" s="10" t="s">
        <v>26</v>
      </c>
      <c r="D32" s="11"/>
      <c r="E32" s="10" t="s">
        <v>27</v>
      </c>
      <c r="F32" s="18"/>
      <c r="G32" s="19"/>
      <c r="H32" s="20"/>
      <c r="I32" s="43"/>
      <c r="J32" s="21"/>
      <c r="K32" s="18"/>
      <c r="L32" s="43"/>
      <c r="M32" s="22"/>
      <c r="N32" s="18"/>
      <c r="O32" s="43"/>
      <c r="P32" s="9"/>
      <c r="Q32" s="43">
        <f>IF(F32&gt;=4,10,IF(F32=3,5,0))</f>
        <v>0</v>
      </c>
      <c r="R32" s="48">
        <f>ROUND(AVERAGE(Q32,I32,L32,O32),0.5)</f>
        <v>0</v>
      </c>
      <c r="S32" s="48">
        <v>5</v>
      </c>
    </row>
    <row r="33" spans="1:19" x14ac:dyDescent="0.25">
      <c r="A33" s="17" t="str">
        <f>_xlfn.CONCAT(B33,"  ",C33)</f>
        <v>LUCAS  PIRES DE CAMARGO SARAI</v>
      </c>
      <c r="B33" s="10" t="s">
        <v>89</v>
      </c>
      <c r="C33" s="10" t="s">
        <v>90</v>
      </c>
      <c r="D33" s="10"/>
      <c r="E33" s="10" t="s">
        <v>91</v>
      </c>
      <c r="F33" s="18">
        <v>5</v>
      </c>
      <c r="G33" s="23" t="s">
        <v>142</v>
      </c>
      <c r="H33" s="20">
        <v>9</v>
      </c>
      <c r="I33" s="43">
        <v>10</v>
      </c>
      <c r="J33" s="24"/>
      <c r="K33" s="18">
        <v>9</v>
      </c>
      <c r="L33" s="43">
        <v>10</v>
      </c>
      <c r="M33" s="15"/>
      <c r="N33" s="18">
        <v>9</v>
      </c>
      <c r="O33" s="43">
        <v>10</v>
      </c>
      <c r="P33" s="9"/>
      <c r="Q33" s="43">
        <f>IF(F33&gt;=4,10,IF(F33=3,5,0))</f>
        <v>10</v>
      </c>
      <c r="R33" s="48">
        <f>ROUND(AVERAGE(Q33,I33,L33,O33),0.5)</f>
        <v>10</v>
      </c>
      <c r="S33" s="48">
        <v>10</v>
      </c>
    </row>
    <row r="34" spans="1:19" x14ac:dyDescent="0.25">
      <c r="A34" s="17" t="str">
        <f>_xlfn.CONCAT(B34,"  ",C34)</f>
        <v>MARCO  ANTONIO DE CAMARGO</v>
      </c>
      <c r="B34" s="10" t="s">
        <v>13</v>
      </c>
      <c r="C34" s="10" t="s">
        <v>14</v>
      </c>
      <c r="D34" s="10"/>
      <c r="E34" s="10" t="s">
        <v>15</v>
      </c>
      <c r="F34" s="18">
        <v>5</v>
      </c>
      <c r="G34" s="19" t="s">
        <v>143</v>
      </c>
      <c r="H34" s="20">
        <v>1</v>
      </c>
      <c r="I34" s="43">
        <v>10</v>
      </c>
      <c r="J34" s="15"/>
      <c r="K34" s="18">
        <v>1</v>
      </c>
      <c r="L34" s="43">
        <v>10</v>
      </c>
      <c r="M34" s="15"/>
      <c r="N34" s="18">
        <v>1</v>
      </c>
      <c r="O34" s="43">
        <v>9</v>
      </c>
      <c r="P34" s="25"/>
      <c r="Q34" s="43">
        <f>IF(F34&gt;=4,10,IF(F34=3,5,0))</f>
        <v>10</v>
      </c>
      <c r="R34" s="48">
        <f>ROUND(AVERAGE(Q34,I34,L34,O34),0.5)</f>
        <v>10</v>
      </c>
      <c r="S34" s="48">
        <v>8</v>
      </c>
    </row>
    <row r="35" spans="1:19" x14ac:dyDescent="0.25">
      <c r="A35" s="26" t="str">
        <f>_xlfn.CONCAT(B35,"  ",C35)</f>
        <v>MARINA  BARROCA</v>
      </c>
      <c r="B35" s="27" t="s">
        <v>19</v>
      </c>
      <c r="C35" s="27" t="s">
        <v>20</v>
      </c>
      <c r="D35" s="27"/>
      <c r="E35" s="27" t="s">
        <v>21</v>
      </c>
      <c r="F35" s="28">
        <v>5</v>
      </c>
      <c r="G35" s="29" t="s">
        <v>148</v>
      </c>
      <c r="H35" s="30">
        <v>10</v>
      </c>
      <c r="I35" s="42">
        <v>8</v>
      </c>
      <c r="J35" s="31" t="s">
        <v>164</v>
      </c>
      <c r="K35" s="28">
        <v>10</v>
      </c>
      <c r="L35" s="42">
        <v>10</v>
      </c>
      <c r="M35" s="32"/>
      <c r="N35" s="28">
        <v>10</v>
      </c>
      <c r="O35" s="42">
        <v>10</v>
      </c>
      <c r="P35" s="33" t="s">
        <v>180</v>
      </c>
      <c r="Q35" s="42">
        <f>IF(F35&gt;=4,10,IF(F35=3,5,0))</f>
        <v>10</v>
      </c>
      <c r="R35" s="49">
        <f>ROUND(AVERAGE(Q35,I35,L35,O35),0.5)</f>
        <v>10</v>
      </c>
      <c r="S35" s="49">
        <v>6</v>
      </c>
    </row>
    <row r="36" spans="1:19" x14ac:dyDescent="0.25">
      <c r="A36" s="9" t="str">
        <f>_xlfn.CONCAT(B36,"  ",C36)</f>
        <v>MATHEUS  HENRIQUE DE OLIVEIRA SANTOS</v>
      </c>
      <c r="B36" s="10" t="s">
        <v>37</v>
      </c>
      <c r="C36" s="10" t="s">
        <v>38</v>
      </c>
      <c r="D36" s="11"/>
      <c r="E36" s="10" t="s">
        <v>39</v>
      </c>
      <c r="F36" s="12"/>
      <c r="G36" s="13"/>
      <c r="H36" s="14">
        <v>10</v>
      </c>
      <c r="I36" s="43">
        <v>8</v>
      </c>
      <c r="J36" s="15"/>
      <c r="K36" s="12">
        <v>10</v>
      </c>
      <c r="L36" s="43">
        <v>10</v>
      </c>
      <c r="M36" s="15"/>
      <c r="N36" s="12">
        <v>10</v>
      </c>
      <c r="O36" s="43">
        <v>10</v>
      </c>
      <c r="P36" s="16"/>
      <c r="Q36" s="43">
        <f>IF(F36&gt;=4,10,IF(F36=3,5,0))</f>
        <v>0</v>
      </c>
      <c r="R36" s="48">
        <f>ROUND(AVERAGE(Q36,I36,L36,O36),0.5)</f>
        <v>7</v>
      </c>
      <c r="S36" s="48"/>
    </row>
    <row r="37" spans="1:19" x14ac:dyDescent="0.25">
      <c r="A37" s="17" t="str">
        <f>_xlfn.CONCAT(B37,"  ",C37)</f>
        <v>NATAN  MOREIRA PASSOS</v>
      </c>
      <c r="B37" s="10" t="s">
        <v>74</v>
      </c>
      <c r="C37" s="10" t="s">
        <v>75</v>
      </c>
      <c r="D37" s="11"/>
      <c r="E37" s="10" t="s">
        <v>76</v>
      </c>
      <c r="F37" s="18"/>
      <c r="G37" s="19"/>
      <c r="H37" s="20">
        <v>1</v>
      </c>
      <c r="I37" s="43">
        <v>10</v>
      </c>
      <c r="J37" s="21"/>
      <c r="K37" s="18">
        <v>1</v>
      </c>
      <c r="L37" s="43">
        <v>10</v>
      </c>
      <c r="M37" s="22"/>
      <c r="N37" s="18">
        <v>1</v>
      </c>
      <c r="O37" s="43">
        <v>9</v>
      </c>
      <c r="P37" s="9"/>
      <c r="Q37" s="43">
        <f>IF(F37&gt;=4,10,IF(F37=3,5,0))</f>
        <v>0</v>
      </c>
      <c r="R37" s="48">
        <f>ROUND(AVERAGE(Q37,I37,L37,O37),0.5)</f>
        <v>7</v>
      </c>
      <c r="S37" s="48">
        <v>5</v>
      </c>
    </row>
    <row r="38" spans="1:19" x14ac:dyDescent="0.25">
      <c r="A38" s="17" t="str">
        <f>_xlfn.CONCAT(B38,"  ",C38)</f>
        <v>NICOLAS  HENRIQUES DE ALMEIDA</v>
      </c>
      <c r="B38" s="10" t="s">
        <v>40</v>
      </c>
      <c r="C38" s="10" t="s">
        <v>41</v>
      </c>
      <c r="D38" s="10"/>
      <c r="E38" s="10" t="s">
        <v>42</v>
      </c>
      <c r="F38" s="18">
        <v>1</v>
      </c>
      <c r="G38" s="23" t="s">
        <v>144</v>
      </c>
      <c r="H38" s="20">
        <v>1</v>
      </c>
      <c r="I38" s="43">
        <v>10</v>
      </c>
      <c r="J38" s="24"/>
      <c r="K38" s="18">
        <v>1</v>
      </c>
      <c r="L38" s="43">
        <v>10</v>
      </c>
      <c r="M38" s="15"/>
      <c r="N38" s="18">
        <v>1</v>
      </c>
      <c r="O38" s="43">
        <v>9</v>
      </c>
      <c r="P38" s="9"/>
      <c r="Q38" s="43">
        <f>IF(F38&gt;=4,10,IF(F38=3,5,0))</f>
        <v>0</v>
      </c>
      <c r="R38" s="48">
        <f>ROUND(AVERAGE(Q38,I38,L38,O38),0.5)</f>
        <v>7</v>
      </c>
      <c r="S38" s="48"/>
    </row>
    <row r="39" spans="1:19" x14ac:dyDescent="0.25">
      <c r="A39" s="17" t="str">
        <f>_xlfn.CONCAT(B39,"  ",C39)</f>
        <v>OTAVIO  AUGUSTO FREIRE DE ANDRADE BRUZADI</v>
      </c>
      <c r="B39" s="10" t="s">
        <v>16</v>
      </c>
      <c r="C39" s="10" t="s">
        <v>17</v>
      </c>
      <c r="D39" s="10"/>
      <c r="E39" s="10" t="s">
        <v>18</v>
      </c>
      <c r="F39" s="18">
        <v>4</v>
      </c>
      <c r="G39" s="19" t="s">
        <v>149</v>
      </c>
      <c r="H39" s="20">
        <v>9</v>
      </c>
      <c r="I39" s="43">
        <v>10</v>
      </c>
      <c r="J39" s="15"/>
      <c r="K39" s="18">
        <v>9</v>
      </c>
      <c r="L39" s="43">
        <v>10</v>
      </c>
      <c r="M39" s="15"/>
      <c r="N39" s="18">
        <v>9</v>
      </c>
      <c r="O39" s="43">
        <v>10</v>
      </c>
      <c r="P39" s="25"/>
      <c r="Q39" s="43">
        <f>IF(F39&gt;=4,10,IF(F39=3,5,0))</f>
        <v>10</v>
      </c>
      <c r="R39" s="48">
        <f>ROUND(AVERAGE(Q39,I39,L39,O39),0.5)</f>
        <v>10</v>
      </c>
      <c r="S39" s="48">
        <v>8.5</v>
      </c>
    </row>
    <row r="40" spans="1:19" x14ac:dyDescent="0.25">
      <c r="A40" s="26" t="str">
        <f>_xlfn.CONCAT(B40,"  ",C40)</f>
        <v>THOMAS  PINHEIRO GRANDIN</v>
      </c>
      <c r="B40" s="27" t="s">
        <v>86</v>
      </c>
      <c r="C40" s="27" t="s">
        <v>87</v>
      </c>
      <c r="D40" s="27"/>
      <c r="E40" s="27" t="s">
        <v>88</v>
      </c>
      <c r="F40" s="28"/>
      <c r="G40" s="29"/>
      <c r="H40" s="30">
        <v>1</v>
      </c>
      <c r="I40" s="42">
        <v>10</v>
      </c>
      <c r="J40" s="31"/>
      <c r="K40" s="28">
        <v>1</v>
      </c>
      <c r="L40" s="42">
        <v>10</v>
      </c>
      <c r="M40" s="32"/>
      <c r="N40" s="28">
        <v>1</v>
      </c>
      <c r="O40" s="42">
        <v>9</v>
      </c>
      <c r="P40" s="33"/>
      <c r="Q40" s="42">
        <f>IF(F40&gt;=4,10,IF(F40=3,5,0))</f>
        <v>0</v>
      </c>
      <c r="R40" s="49">
        <f>ROUND(AVERAGE(Q40,I40,L40,O40),0.5)</f>
        <v>7</v>
      </c>
      <c r="S40" s="49"/>
    </row>
    <row r="41" spans="1:19" x14ac:dyDescent="0.25">
      <c r="A41" s="7" t="str">
        <f>_xlfn.CONCAT(B41,"  ",C41)</f>
        <v>TIAGO  SILVEIRA LOPES</v>
      </c>
      <c r="B41" s="1" t="s">
        <v>98</v>
      </c>
      <c r="C41" s="1" t="s">
        <v>99</v>
      </c>
      <c r="D41" s="1"/>
      <c r="E41" s="1" t="s">
        <v>100</v>
      </c>
      <c r="F41" s="4">
        <v>0</v>
      </c>
      <c r="G41" s="2" t="s">
        <v>145</v>
      </c>
      <c r="H41" s="5">
        <v>6</v>
      </c>
      <c r="I41" s="44">
        <v>10</v>
      </c>
      <c r="K41" s="4">
        <v>6</v>
      </c>
      <c r="L41" s="44">
        <v>10</v>
      </c>
      <c r="Q41" s="44">
        <f>IF(F41&gt;=4,10,IF(F41=3,5,0))</f>
        <v>0</v>
      </c>
      <c r="R41" s="50">
        <f>ROUND(AVERAGE(Q41,I41,L41,O41),0.5)</f>
        <v>7</v>
      </c>
      <c r="S41" s="50">
        <v>9</v>
      </c>
    </row>
    <row r="42" spans="1:19" x14ac:dyDescent="0.25">
      <c r="A42" s="26" t="str">
        <f>_xlfn.CONCAT(B42,"  ",C42)</f>
        <v>VITOR  ALVES PEREIRA</v>
      </c>
      <c r="B42" s="27" t="s">
        <v>6</v>
      </c>
      <c r="C42" s="27" t="s">
        <v>7</v>
      </c>
      <c r="D42" s="27"/>
      <c r="E42" s="27" t="s">
        <v>9</v>
      </c>
      <c r="F42" s="28">
        <v>5</v>
      </c>
      <c r="G42" s="40" t="s">
        <v>146</v>
      </c>
      <c r="H42" s="30">
        <v>4</v>
      </c>
      <c r="I42" s="42">
        <v>2</v>
      </c>
      <c r="J42" s="32"/>
      <c r="K42" s="28">
        <v>4</v>
      </c>
      <c r="L42" s="42">
        <v>6</v>
      </c>
      <c r="M42" s="32"/>
      <c r="N42" s="28">
        <v>4</v>
      </c>
      <c r="O42" s="42">
        <v>10</v>
      </c>
      <c r="P42" s="41"/>
      <c r="Q42" s="42">
        <f>IF(F42&gt;=4,10,IF(F42=3,5,0))</f>
        <v>10</v>
      </c>
      <c r="R42" s="49">
        <f>ROUND(AVERAGE(Q42,I42,L42,O42),0.5)</f>
        <v>7</v>
      </c>
      <c r="S42" s="49">
        <v>3</v>
      </c>
    </row>
    <row r="43" spans="1:19" x14ac:dyDescent="0.25">
      <c r="I43" s="44">
        <f>AVERAGE(I2:I42)</f>
        <v>8.0540540540540544</v>
      </c>
      <c r="J43" s="6"/>
      <c r="L43" s="44">
        <f t="shared" ref="J43:S43" si="0">AVERAGE(L2:L42)</f>
        <v>9.2368421052631575</v>
      </c>
      <c r="M43" s="6"/>
      <c r="O43" s="44">
        <f t="shared" si="0"/>
        <v>9.6451612903225801</v>
      </c>
      <c r="P43" s="6"/>
      <c r="Q43" s="44">
        <f t="shared" si="0"/>
        <v>5.7317073170731705</v>
      </c>
      <c r="R43" s="50">
        <f t="shared" si="0"/>
        <v>7.7560975609756095</v>
      </c>
      <c r="S43" s="50">
        <f t="shared" si="0"/>
        <v>6.274193548387097</v>
      </c>
    </row>
  </sheetData>
  <hyperlinks>
    <hyperlink ref="G6" r:id="rId1" xr:uid="{F77CD162-3AE3-4846-A395-1915142EEFB9}"/>
    <hyperlink ref="G26" r:id="rId2" xr:uid="{74DDEC77-2E01-419A-9ACA-53777278D7C3}"/>
    <hyperlink ref="G41" r:id="rId3" xr:uid="{7D7AAE97-AE96-4EF6-9D58-E14C4363A8EB}"/>
    <hyperlink ref="G42" r:id="rId4" xr:uid="{D805AD13-1429-43BF-982F-F9E715D640C0}"/>
    <hyperlink ref="G2" r:id="rId5" xr:uid="{C441E7AA-D413-4D16-B4B4-845E18881517}"/>
    <hyperlink ref="G4" r:id="rId6" xr:uid="{1DF339C5-A98F-48F9-A74B-2F0041C3FD5F}"/>
    <hyperlink ref="G5" r:id="rId7" xr:uid="{06DDF801-E692-4168-A5CC-A6B2BB66EF44}"/>
    <hyperlink ref="G7" r:id="rId8" xr:uid="{865C8BD3-8BED-4213-8489-9E46F83C1FFB}"/>
    <hyperlink ref="G8" r:id="rId9" xr:uid="{E4EE7394-AA9D-4F17-9D5A-9797CFA9FA24}"/>
    <hyperlink ref="G9" r:id="rId10" xr:uid="{7F080A02-DE9F-439B-A1AA-3D160CE76862}"/>
    <hyperlink ref="G11" r:id="rId11" xr:uid="{59976AE4-22EC-4106-BEC4-554566D13722}"/>
    <hyperlink ref="G12" r:id="rId12" xr:uid="{81EB8AB9-B9AD-45CB-919F-3396F598C196}"/>
    <hyperlink ref="G13" r:id="rId13" xr:uid="{3BB697A0-44B5-4385-AC31-CCDC54712B66}"/>
    <hyperlink ref="G14" r:id="rId14" xr:uid="{345A645F-7C43-4A4F-BF87-4E0AED996BD6}"/>
    <hyperlink ref="G15" r:id="rId15" xr:uid="{C24AB5A2-30AA-42ED-ACE9-0F698C7A6C56}"/>
    <hyperlink ref="G16" r:id="rId16" xr:uid="{C70D4B1E-58D4-44D1-84A0-03E568748B02}"/>
    <hyperlink ref="G17" r:id="rId17" xr:uid="{FF9DE5F8-A591-4100-907F-FA11530AA9E3}"/>
    <hyperlink ref="G18" r:id="rId18" xr:uid="{A8F3F0EA-3E2F-46CF-A327-DF5C8E8EACBE}"/>
    <hyperlink ref="G21" r:id="rId19" xr:uid="{3DFA1B20-FC29-457F-A830-A2E9B72B7564}"/>
    <hyperlink ref="G22" r:id="rId20" xr:uid="{B27EDCED-E972-4E74-993D-F5E2151A2DC5}"/>
    <hyperlink ref="G24" r:id="rId21" xr:uid="{BA91A4AD-FF07-423F-85D0-099B62CAEEE1}"/>
    <hyperlink ref="G25" r:id="rId22" xr:uid="{07F3AF1E-8C8E-41D6-B36B-564B13C59A0B}"/>
    <hyperlink ref="G29" r:id="rId23" xr:uid="{85C51257-459B-46F9-9C01-5BB1607608A3}"/>
    <hyperlink ref="G30" r:id="rId24" xr:uid="{A6D54F37-2E80-43BE-ACAA-FBDDA470496E}"/>
    <hyperlink ref="G33" r:id="rId25" xr:uid="{0DCFA524-4C34-4CFA-931E-655CF9D2FC1A}"/>
    <hyperlink ref="G34" r:id="rId26" xr:uid="{9399F765-B21C-4F91-88E2-A23EA680FCA3}"/>
    <hyperlink ref="G35" r:id="rId27" xr:uid="{ABC4F884-9833-4175-A269-D6D648A076D6}"/>
    <hyperlink ref="G38" r:id="rId28" xr:uid="{1630A4D4-B0E0-447F-A318-1A8376692065}"/>
    <hyperlink ref="G39" r:id="rId29" xr:uid="{838EA479-FEC1-4333-81DE-70A7826495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ROGERIO DE OLIVEIRA</cp:lastModifiedBy>
  <dcterms:created xsi:type="dcterms:W3CDTF">2026-04-11T12:46:18Z</dcterms:created>
  <dcterms:modified xsi:type="dcterms:W3CDTF">2026-04-11T19:28:53Z</dcterms:modified>
  <cp:category/>
</cp:coreProperties>
</file>
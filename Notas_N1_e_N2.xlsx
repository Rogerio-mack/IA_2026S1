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cuments\ano_2026S1\IA\"/>
    </mc:Choice>
  </mc:AlternateContent>
  <xr:revisionPtr revIDLastSave="0" documentId="13_ncr:1_{20AE5444-A64F-4B10-817F-86F1FDDF71D9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Notas B1" sheetId="1" r:id="rId1"/>
    <sheet name="Notas B2" sheetId="2" r:id="rId2"/>
    <sheet name="Notas SUB" sheetId="4" r:id="rId3"/>
    <sheet name=" " sheetId="3" r:id="rId4"/>
  </sheets>
  <definedNames>
    <definedName name="_xlnm._FilterDatabase" localSheetId="0" hidden="1">'Notas B1'!$A$1:$N$42</definedName>
    <definedName name="_xlnm._FilterDatabase" localSheetId="1" hidden="1">'Notas B2'!$A$1:$T$44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L3" i="2" s="1"/>
  <c r="K3" i="2" s="1"/>
  <c r="M4" i="2"/>
  <c r="L4" i="2" s="1"/>
  <c r="K4" i="2" s="1"/>
  <c r="M5" i="2"/>
  <c r="L5" i="2" s="1"/>
  <c r="K5" i="2" s="1"/>
  <c r="M6" i="2"/>
  <c r="L6" i="2" s="1"/>
  <c r="K6" i="2" s="1"/>
  <c r="M7" i="2"/>
  <c r="L7" i="2" s="1"/>
  <c r="K7" i="2" s="1"/>
  <c r="M8" i="2"/>
  <c r="L8" i="2" s="1"/>
  <c r="K8" i="2" s="1"/>
  <c r="M9" i="2"/>
  <c r="L9" i="2" s="1"/>
  <c r="K9" i="2" s="1"/>
  <c r="M10" i="2"/>
  <c r="L10" i="2" s="1"/>
  <c r="K10" i="2" s="1"/>
  <c r="L11" i="2"/>
  <c r="K11" i="2" s="1"/>
  <c r="M12" i="2"/>
  <c r="L12" i="2" s="1"/>
  <c r="K12" i="2" s="1"/>
  <c r="M13" i="2"/>
  <c r="L13" i="2" s="1"/>
  <c r="K13" i="2" s="1"/>
  <c r="M14" i="2"/>
  <c r="L14" i="2" s="1"/>
  <c r="K14" i="2" s="1"/>
  <c r="M15" i="2"/>
  <c r="L15" i="2" s="1"/>
  <c r="K15" i="2" s="1"/>
  <c r="M16" i="2"/>
  <c r="L16" i="2" s="1"/>
  <c r="K16" i="2" s="1"/>
  <c r="M17" i="2"/>
  <c r="L17" i="2" s="1"/>
  <c r="K17" i="2" s="1"/>
  <c r="M18" i="2"/>
  <c r="L18" i="2" s="1"/>
  <c r="K18" i="2" s="1"/>
  <c r="M19" i="2"/>
  <c r="L19" i="2" s="1"/>
  <c r="K19" i="2" s="1"/>
  <c r="M20" i="2"/>
  <c r="L20" i="2" s="1"/>
  <c r="K20" i="2" s="1"/>
  <c r="M21" i="2"/>
  <c r="L21" i="2" s="1"/>
  <c r="K21" i="2" s="1"/>
  <c r="M22" i="2"/>
  <c r="L22" i="2" s="1"/>
  <c r="K22" i="2" s="1"/>
  <c r="M23" i="2"/>
  <c r="L23" i="2" s="1"/>
  <c r="K23" i="2" s="1"/>
  <c r="M24" i="2"/>
  <c r="L24" i="2" s="1"/>
  <c r="K24" i="2" s="1"/>
  <c r="M25" i="2"/>
  <c r="L25" i="2" s="1"/>
  <c r="K25" i="2" s="1"/>
  <c r="M26" i="2"/>
  <c r="L26" i="2" s="1"/>
  <c r="K26" i="2" s="1"/>
  <c r="M27" i="2"/>
  <c r="L27" i="2" s="1"/>
  <c r="K27" i="2" s="1"/>
  <c r="M28" i="2"/>
  <c r="L28" i="2" s="1"/>
  <c r="K28" i="2" s="1"/>
  <c r="M29" i="2"/>
  <c r="L29" i="2" s="1"/>
  <c r="K29" i="2" s="1"/>
  <c r="M30" i="2"/>
  <c r="L30" i="2" s="1"/>
  <c r="K30" i="2" s="1"/>
  <c r="M31" i="2"/>
  <c r="L31" i="2" s="1"/>
  <c r="K31" i="2" s="1"/>
  <c r="M32" i="2"/>
  <c r="L32" i="2" s="1"/>
  <c r="K32" i="2" s="1"/>
  <c r="M33" i="2"/>
  <c r="L33" i="2" s="1"/>
  <c r="K33" i="2" s="1"/>
  <c r="M34" i="2"/>
  <c r="L34" i="2" s="1"/>
  <c r="K34" i="2" s="1"/>
  <c r="M35" i="2"/>
  <c r="L35" i="2" s="1"/>
  <c r="K35" i="2" s="1"/>
  <c r="M36" i="2"/>
  <c r="L36" i="2" s="1"/>
  <c r="K36" i="2" s="1"/>
  <c r="M37" i="2"/>
  <c r="L37" i="2" s="1"/>
  <c r="K37" i="2" s="1"/>
  <c r="M38" i="2"/>
  <c r="L38" i="2" s="1"/>
  <c r="K38" i="2" s="1"/>
  <c r="M39" i="2"/>
  <c r="L39" i="2" s="1"/>
  <c r="K39" i="2" s="1"/>
  <c r="M40" i="2"/>
  <c r="L40" i="2" s="1"/>
  <c r="K40" i="2" s="1"/>
  <c r="M41" i="2"/>
  <c r="L41" i="2" s="1"/>
  <c r="K41" i="2" s="1"/>
  <c r="M42" i="2"/>
  <c r="L42" i="2" s="1"/>
  <c r="K42" i="2" s="1"/>
  <c r="M2" i="2"/>
  <c r="L2" i="2" s="1"/>
  <c r="K2" i="2" s="1"/>
  <c r="O12" i="2"/>
  <c r="O7" i="2"/>
  <c r="O8" i="2"/>
  <c r="O11" i="2" s="1"/>
  <c r="O19" i="2"/>
  <c r="O9" i="2"/>
  <c r="O3" i="2"/>
  <c r="O35" i="2"/>
  <c r="O36" i="2" s="1"/>
  <c r="O5" i="2"/>
  <c r="O2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L43" i="1"/>
  <c r="O43" i="1"/>
  <c r="Q43" i="1"/>
  <c r="R43" i="1"/>
  <c r="S43" i="1"/>
  <c r="I4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2" i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Q14" i="1"/>
  <c r="R14" i="1" s="1"/>
  <c r="Q15" i="1"/>
  <c r="R15" i="1" s="1"/>
  <c r="Q16" i="1"/>
  <c r="R16" i="1" s="1"/>
  <c r="Q17" i="1"/>
  <c r="R17" i="1" s="1"/>
  <c r="Q18" i="1"/>
  <c r="R18" i="1" s="1"/>
  <c r="Q19" i="1"/>
  <c r="R19" i="1" s="1"/>
  <c r="Q20" i="1"/>
  <c r="R20" i="1" s="1"/>
  <c r="Q21" i="1"/>
  <c r="R21" i="1" s="1"/>
  <c r="Q22" i="1"/>
  <c r="R22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R30" i="1" s="1"/>
  <c r="Q31" i="1"/>
  <c r="R31" i="1" s="1"/>
  <c r="Q32" i="1"/>
  <c r="R32" i="1" s="1"/>
  <c r="Q33" i="1"/>
  <c r="R33" i="1" s="1"/>
  <c r="Q34" i="1"/>
  <c r="R34" i="1" s="1"/>
  <c r="Q35" i="1"/>
  <c r="R35" i="1" s="1"/>
  <c r="Q36" i="1"/>
  <c r="R36" i="1" s="1"/>
  <c r="Q37" i="1"/>
  <c r="R37" i="1" s="1"/>
  <c r="Q38" i="1"/>
  <c r="R38" i="1" s="1"/>
  <c r="Q39" i="1"/>
  <c r="R39" i="1" s="1"/>
  <c r="Q40" i="1"/>
  <c r="R40" i="1" s="1"/>
  <c r="Q41" i="1"/>
  <c r="R41" i="1" s="1"/>
  <c r="Q42" i="1"/>
  <c r="R42" i="1" s="1"/>
  <c r="Q2" i="1"/>
  <c r="R2" i="1" s="1"/>
  <c r="O20" i="2" l="1"/>
  <c r="O21" i="2" s="1"/>
  <c r="O13" i="2"/>
  <c r="O6" i="2"/>
  <c r="O24" i="2" s="1"/>
  <c r="O25" i="2" s="1"/>
  <c r="O22" i="2" l="1"/>
  <c r="O14" i="2" l="1"/>
  <c r="O15" i="2" s="1"/>
  <c r="O16" i="2" s="1"/>
  <c r="O17" i="2" s="1"/>
  <c r="O18" i="2" s="1"/>
  <c r="O26" i="2" s="1"/>
  <c r="O33" i="2" l="1"/>
  <c r="O34" i="2" s="1"/>
  <c r="O37" i="2" s="1"/>
  <c r="O38" i="2" s="1"/>
  <c r="O39" i="2" s="1"/>
  <c r="O40" i="2" s="1"/>
  <c r="O41" i="2" s="1"/>
  <c r="O42" i="2" s="1"/>
  <c r="O27" i="2"/>
  <c r="O28" i="2" s="1"/>
  <c r="O29" i="2" s="1"/>
  <c r="O30" i="2" s="1"/>
  <c r="O31" i="2" s="1"/>
</calcChain>
</file>

<file path=xl/sharedStrings.xml><?xml version="1.0" encoding="utf-8"?>
<sst xmlns="http://schemas.openxmlformats.org/spreadsheetml/2006/main" count="473" uniqueCount="264">
  <si>
    <t>Nome</t>
  </si>
  <si>
    <t>Sobrenome</t>
  </si>
  <si>
    <t>Endereço de e-mail</t>
  </si>
  <si>
    <t>BRUNA</t>
  </si>
  <si>
    <t>AGUIAR MUCHIUTI</t>
  </si>
  <si>
    <t>10418358@mackenzista.com.br</t>
  </si>
  <si>
    <t>VITOR</t>
  </si>
  <si>
    <t>ALVES PEREIRA</t>
  </si>
  <si>
    <t xml:space="preserve"> </t>
  </si>
  <si>
    <t>10410862@mackenzista.com.br</t>
  </si>
  <si>
    <t>BRUNO</t>
  </si>
  <si>
    <t>ANTICO GALIN</t>
  </si>
  <si>
    <t>10417318@mackenzista.com.br</t>
  </si>
  <si>
    <t>MARCO</t>
  </si>
  <si>
    <t>ANTONIO DE CAMARGO</t>
  </si>
  <si>
    <t>10418309@mackenzista.com.br</t>
  </si>
  <si>
    <t>OTAVIO</t>
  </si>
  <si>
    <t>AUGUSTO FREIRE DE ANDRADE BRUZADI</t>
  </si>
  <si>
    <t>10409053@mackenzista.com.br</t>
  </si>
  <si>
    <t>MARINA</t>
  </si>
  <si>
    <t>BARROCA</t>
  </si>
  <si>
    <t>10740412@mackenzista.com.br</t>
  </si>
  <si>
    <t>ENZO</t>
  </si>
  <si>
    <t>BENEDETTO PROENCA</t>
  </si>
  <si>
    <t>10418579@mackenzista.com.br</t>
  </si>
  <si>
    <t>LIVIA</t>
  </si>
  <si>
    <t>CANTOWITZ</t>
  </si>
  <si>
    <t>10389419@mackenzista.com.br</t>
  </si>
  <si>
    <t>ISMAEL</t>
  </si>
  <si>
    <t>DE SOUSA SILVA</t>
  </si>
  <si>
    <t>10410870@mackenzista.com.br</t>
  </si>
  <si>
    <t>JESSICA</t>
  </si>
  <si>
    <t>DOS SANTOS SANTANA BISPO</t>
  </si>
  <si>
    <t>10410798@mackenzista.com.br</t>
  </si>
  <si>
    <t>GUILHERME</t>
  </si>
  <si>
    <t>FERREIRA MARTINS RAMOS</t>
  </si>
  <si>
    <t>10418373@mackenzista.com.br</t>
  </si>
  <si>
    <t>MATHEUS</t>
  </si>
  <si>
    <t>HENRIQUE DE OLIVEIRA SANTOS</t>
  </si>
  <si>
    <t>10409051@mackenzista.com.br</t>
  </si>
  <si>
    <t>NICOLAS</t>
  </si>
  <si>
    <t>HENRIQUES DE ALMEIDA</t>
  </si>
  <si>
    <t>10418357@mackenzista.com.br</t>
  </si>
  <si>
    <t>ALEX</t>
  </si>
  <si>
    <t>KAZUO KODAMA</t>
  </si>
  <si>
    <t>10417942@mackenzista.com.br</t>
  </si>
  <si>
    <t>GABRIEL</t>
  </si>
  <si>
    <t>KEN KAZAMA GERONAZZO</t>
  </si>
  <si>
    <t>10418247@mackenzista.com.br</t>
  </si>
  <si>
    <t>GUSTAVO</t>
  </si>
  <si>
    <t>KENZO NAKAZATO SLEIMAN</t>
  </si>
  <si>
    <t>10408988@mackenzista.com.br</t>
  </si>
  <si>
    <t>LAUAND FERRAO</t>
  </si>
  <si>
    <t>10401081@mackenzista.com.br</t>
  </si>
  <si>
    <t>LAZARETI CARDOSO</t>
  </si>
  <si>
    <t>10417353@mackenzista.com.br</t>
  </si>
  <si>
    <t>BEATRIZ</t>
  </si>
  <si>
    <t>LIMA DE MOURA</t>
  </si>
  <si>
    <t>10416616@mackenzista.com.br</t>
  </si>
  <si>
    <t>FRANCISCO</t>
  </si>
  <si>
    <t>LOSADA TOTARO</t>
  </si>
  <si>
    <t>10364673@mackenzista.com.br</t>
  </si>
  <si>
    <t>ANNA</t>
  </si>
  <si>
    <t>LUIZA STELLA SANTOS</t>
  </si>
  <si>
    <t>10417401@mackenzista.com.br</t>
  </si>
  <si>
    <t>CAUE</t>
  </si>
  <si>
    <t>MACEDO DE SOUZA</t>
  </si>
  <si>
    <t>10396330@mackenzista.com.br</t>
  </si>
  <si>
    <t>FERNANDO</t>
  </si>
  <si>
    <t>MATHIAS FERRO DOS SANTOS</t>
  </si>
  <si>
    <t>10418683@mackenzista.com.br</t>
  </si>
  <si>
    <t>ANDRE</t>
  </si>
  <si>
    <t>MOREIRA GUIMARAES</t>
  </si>
  <si>
    <t>10416590@mackenzista.com.br</t>
  </si>
  <si>
    <t>NATAN</t>
  </si>
  <si>
    <t>MOREIRA PASSOS</t>
  </si>
  <si>
    <t>10417916@mackenzista.com.br</t>
  </si>
  <si>
    <t>EDUARDO</t>
  </si>
  <si>
    <t>OLIVEIRA CARVALHO</t>
  </si>
  <si>
    <t>10417170@mackenzista.com.br</t>
  </si>
  <si>
    <t>LEONARDO</t>
  </si>
  <si>
    <t>PATRIANI CARDOSO</t>
  </si>
  <si>
    <t>10417188@mackenzista.com.br</t>
  </si>
  <si>
    <t>CLEVERSON</t>
  </si>
  <si>
    <t>PEREIRA DA SILVA</t>
  </si>
  <si>
    <t>10391119@mackenzista.com.br</t>
  </si>
  <si>
    <t>THOMAS</t>
  </si>
  <si>
    <t>PINHEIRO GRANDIN</t>
  </si>
  <si>
    <t>10418118@mackenzista.com.br</t>
  </si>
  <si>
    <t>LUCAS</t>
  </si>
  <si>
    <t>PIRES DE CAMARGO SARAI</t>
  </si>
  <si>
    <t>10418013@mackenzista.com.br</t>
  </si>
  <si>
    <t>JOAO</t>
  </si>
  <si>
    <t>ROCHA MURGEL</t>
  </si>
  <si>
    <t>10410293@mackenzista.com.br</t>
  </si>
  <si>
    <t>JULIA</t>
  </si>
  <si>
    <t>SANTOS OLIVEIRA</t>
  </si>
  <si>
    <t>10417672@mackenzista.com.br</t>
  </si>
  <si>
    <t>TIAGO</t>
  </si>
  <si>
    <t>SILVEIRA LOPES</t>
  </si>
  <si>
    <t>10417600@mackenzista.com.br</t>
  </si>
  <si>
    <t>GIOVANA</t>
  </si>
  <si>
    <t>SIMOES FRANCO</t>
  </si>
  <si>
    <t>10417646@mackenzista.com.br</t>
  </si>
  <si>
    <t>BERNARDO</t>
  </si>
  <si>
    <t>SOUZA OLIVEIRA</t>
  </si>
  <si>
    <t>10312871@mackenzista.com.br</t>
  </si>
  <si>
    <t>TAKASHI MISSAKA</t>
  </si>
  <si>
    <t>10417877@mackenzista.com.br</t>
  </si>
  <si>
    <t>TORTOLIO FONSECA</t>
  </si>
  <si>
    <t>10416751@mackenzista.com.br</t>
  </si>
  <si>
    <t>VICTOR MARTINS</t>
  </si>
  <si>
    <t>10417928@mackenzista.com.br</t>
  </si>
  <si>
    <t>FELIPE</t>
  </si>
  <si>
    <t>VIVIANI SCHULZE</t>
  </si>
  <si>
    <t>10417996@mackenzista.com.br</t>
  </si>
  <si>
    <t>HENRIQUE</t>
  </si>
  <si>
    <t>YUJI ISOGAI YONEOKA</t>
  </si>
  <si>
    <t>10418153@mackenzista.com.br</t>
  </si>
  <si>
    <t>LARISSA</t>
  </si>
  <si>
    <t>YURI SATO</t>
  </si>
  <si>
    <t>10418318@mackenzista.com.br</t>
  </si>
  <si>
    <t>https://www.skills.google/public_profiles/049c6066-3cac-4fc7-86d0-f4921e01ca78</t>
  </si>
  <si>
    <t>https://www.skills.google/public_profiles/ffd9fca7-0875-45e4-8d82-7631c21627f8</t>
  </si>
  <si>
    <t>https://www.skills.google/public_profiles/d8f4d5ae-24d1-478e-a845-35e25c2aff6c</t>
  </si>
  <si>
    <t>https://www.skills.google/public_profiles/500ee132-43c5-4bc9-af7d-0bbf23a48911</t>
  </si>
  <si>
    <t>https://www.skills.google/public_profiles/a1f238aa-ccf4-4151-bcbe-3fc90f4af7f2</t>
  </si>
  <si>
    <t>https://www.skills.google/public_profiles/c03264ed-091b-4e83-979b-7efc362588fa</t>
  </si>
  <si>
    <t>https://www.skills.google/public_profiles/bac0ce94-ef4d-4f72-bd3f-b9a3215dbe8c</t>
  </si>
  <si>
    <t>https://www.skills.google/public_profiles/2611dc45-acb3-4e62-97ea-26a4f9cb5131</t>
  </si>
  <si>
    <t>https://www.skills.google/public_profiles/de1a741a-eb3d-437f-9549-a0366e4fef73</t>
  </si>
  <si>
    <t>https://www.skills.google/public_profiles/21053c0c-6229-4327-b55b-831273556c0b</t>
  </si>
  <si>
    <t>https://www.skills.google/public_profiles/3e9b29e4-e00f-4319-b4fe-9a723416c8b1</t>
  </si>
  <si>
    <t>https://www.skills.google/public_profiles/82aeaaf7-1de9-4838-9377-aeccdd5d5d38</t>
  </si>
  <si>
    <t>https://www.skills.google/public_profiles/53c78749-f9ba-4e74-b14c-6ffcd1ed02cf</t>
  </si>
  <si>
    <t>https://www.skills.google/public_profiles/1471add6-32b8-4d51-a61a-df448649b77e</t>
  </si>
  <si>
    <t>https://www.skills.google/public_profiles/60207089-7f50-4e18-86cc-27a8cba7b288</t>
  </si>
  <si>
    <t>https://www.skills.google/public_profiles/bbdb82bd-d7a8-4f7f-8b5d-793c039f10aa</t>
  </si>
  <si>
    <t>https://www.skills.google/public_profiles/fe4fffd8-df9c-4d3a-9f38-b8976b32a5df</t>
  </si>
  <si>
    <t>https://www.skills.google/public_profiles/6a862fbf-9929-48d2-bfc5-cc069ead002c</t>
  </si>
  <si>
    <t>https://www.skills.google/public_profiles/6b14b2a2-6a3b-49bf-b674-da4ef9882725</t>
  </si>
  <si>
    <t>https://www.skills.google/public_profiles/1f42aec0-9fec-4d48-b12a-6843ae5c4869</t>
  </si>
  <si>
    <t>https://www.skills.google/public_profiles/3dd3ee0d-c8dd-4dea-af3e-de2ce0a826ed</t>
  </si>
  <si>
    <t>https://www.skills.google/public_profiles/2b930c7b-4420-41f0-ab66-6cb916697f65</t>
  </si>
  <si>
    <t>https://www.skills.google/public_profiles/6a5eec82-8b60-4a88-9854-71260e8b3dcb</t>
  </si>
  <si>
    <t>https://www.skills.google/public_profiles/9e5c44f1-8a45-4526-8630-91ef335cc23a</t>
  </si>
  <si>
    <t>https://www.skills.google/public_profiles/b818b6f3-fa81-4a1e-b182-1ed209d19463</t>
  </si>
  <si>
    <t>https://www.skills.google/public_profiles/d2cf66ed-a4b6-4001-ae81-bac2efd961f5</t>
  </si>
  <si>
    <t>https://www.skills.google/public_profiles/c12cd2ce-8770-4076-b9cd-594a79e94461</t>
  </si>
  <si>
    <t>https://www.skills.google/public_profiles/bbd8b5b1-b5f5-46b9-aa61-39764b90c0a1</t>
  </si>
  <si>
    <t>https://www.skills.google/public_profiles/7c8a0247-6aa9-4a41-9994-d4067e70cfe8</t>
  </si>
  <si>
    <t>Nome Completo</t>
  </si>
  <si>
    <t>=concat(A2;"  ";B2)</t>
  </si>
  <si>
    <t xml:space="preserve">Google Badges </t>
  </si>
  <si>
    <t>Google Link Profile</t>
  </si>
  <si>
    <t>G1</t>
  </si>
  <si>
    <t>G1 Nota</t>
  </si>
  <si>
    <t>G1 Feedback</t>
  </si>
  <si>
    <t>Não identifiquei variedade nas regras como OR ou NOT</t>
  </si>
  <si>
    <t>Não EXECUTA. Adicionalmente, não identifiquei variedade nas regras como OR ou NOT</t>
  </si>
  <si>
    <t>Sem execução e fora da proposta: REMÉDIOS ou PAÍSES segundo critérios não geográficos. Vocês apresentaram tema do semestre passado.</t>
  </si>
  <si>
    <t>Atividade obrigatoriamente em grupo. Não houve nem consulta prévia para entrega individual.</t>
  </si>
  <si>
    <t>Uso do Experta, excelente</t>
  </si>
  <si>
    <t>Muito bom, único trabalho sobre regras de remédios</t>
  </si>
  <si>
    <t xml:space="preserve">Regras com OR, NOT? Comentários sobre os resultados? </t>
  </si>
  <si>
    <t>G2</t>
  </si>
  <si>
    <t>G2 Nota</t>
  </si>
  <si>
    <t>G2 Feedback</t>
  </si>
  <si>
    <t>Vocês apresentaram exatamente o tema do semestre passado, neste semestre as cidades são do Nordeste.</t>
  </si>
  <si>
    <t>Grafo? Orientamos em sala para empregar o networkx</t>
  </si>
  <si>
    <t>Seria melhor terem empregado o networkx para o grafo.</t>
  </si>
  <si>
    <t>G3</t>
  </si>
  <si>
    <t>G3 Nota</t>
  </si>
  <si>
    <t>G3 Feedback</t>
  </si>
  <si>
    <t>Excelente tema: Maximizar o Alcance Social e Minimizar os Custos</t>
  </si>
  <si>
    <t>Excelente, Sudoku</t>
  </si>
  <si>
    <t>Atividade obrigatoriamente em grupo. Não houve nem consulta prévia para entrega individual. Mas está excelente a atividade com a Forca implementada by scratch.</t>
  </si>
  <si>
    <t>Bom, mas falam de maximizar quantidade de pacotes e minimizar custo total e impacto ambiental... Mas na prática só fizeram quantidade e custo</t>
  </si>
  <si>
    <t>Excelente! Único grupo a implementar Forca com o PyGDA!</t>
  </si>
  <si>
    <t>Poderiam, como é usual, ter adicionado os gráficos de convergência, além de comentarem os resultados.</t>
  </si>
  <si>
    <t>Excelente, Sudoko com  PyGDA... Mas, para clareza, poderiam ter explicitado os resultados do tabuleiro nos experimentos.</t>
  </si>
  <si>
    <t>P1
A (0,7)</t>
  </si>
  <si>
    <t>Média Exercícios
B (0,3)</t>
  </si>
  <si>
    <t>Nota 
Google 1</t>
  </si>
  <si>
    <t>Análise, 3.5</t>
  </si>
  <si>
    <t>Modelo LLM, 3.0</t>
  </si>
  <si>
    <t>Artigo e Aspecto Geral do Trabalho, 3.5</t>
  </si>
  <si>
    <t>https://github.com/Akuro02/Projeto-IA--Simulacao-de-Opiniao-Publica/tree/main</t>
  </si>
  <si>
    <t xml:space="preserve">Excelente. Apenas algumas dúvidas. 1. Por que os prompts  em Inglês? 2. Por que usar a distribuição demográfica do IBGE e não da própria pesquisa? Por que do Random Forest (não precisavam)? </t>
  </si>
  <si>
    <t>Excelente. Você precisavam ter feito um "artigo", o que seria um texto um pouco mais elaborado com o que apresentaram no vídeo. Mas, achei ótimo o uso do TVD. Muito bom também tratarem a explicabilidade. Mas não estava no escopo empregarem o random forest, embora eu tenha entendido que usaram como baseline. Mas ele é inviável para pesquisas de opinião. Usaram um modelo muito pequeno, mas ok.</t>
  </si>
  <si>
    <t>Bom. Mas faltaram itens essenciais da entrega, como o vídeo, e o artigo precisaria ser bastante mais elaborado. Em termos de métodos, deviam buscar comparar as distribuições e não a acurácia, e a geração dos prompts deveria empregar a distribuição dos perfis na pesquisa. Além disso, era pré-requisito, para reprodutibilidade, o não uso de API Keys... vejam esses critérios na rubrica do projeto.</t>
  </si>
  <si>
    <t>Bom. Mas ausência do vídeo e vários problemas no artigo (sem versão final e versão .zip com vários problemas) dificultam uma avaliação melhor. Particularmente não discutem com mais detalhes a geração de prompts e não estava no escopo o modelo supervisionado.</t>
  </si>
  <si>
    <t xml:space="preserve">Excelente. Interessante sua conclusão de alinhamento defensivo para temas sensíveis. O baseline do RF não era mesmo necessário (deixamos isso fora do escopo). Fez justificativas, boa apresentação e texto excelente. Parabéns. </t>
  </si>
  <si>
    <t xml:space="preserve">Bom. Mas não exploraram as distribuições, como era o objetivo (mas apenas a acuracidade). Os prompts, apenas com idade, sexo e raça, parecem bastante insuficientes. A apresentação, com o vídeo acelerado, prejudica bastante. O artigo é excessivamente enxuto/curto e há grande ausência de documentação do notebook.  </t>
  </si>
  <si>
    <t>Bom. Mas deixaram de entregar o artigo, onde deveriam apresentar e discutir a conclusões do trabalho, além de desenvolver e descrever métodos, métricas etc. O notebook, que poderia ter esse texto, também não contêm essas informações, sendo bastante econômico. O notebook, não é 100% executável sem alterações... e não fica clara a geração dos prompts x perfil. O trabalho ainda tinha como foco as distribuições e não a acuracidade.</t>
  </si>
  <si>
    <t>Bom. Vídeo no link fornecido https://youtu.be/eJ54bx3bxeQ indisponível. Link do colab não compartilhado, mas ok, notebook está no GitHub. Boa conclusão aqui, de as distribuições simuladas tendem a ser mais polarizadas, com o LLM concentrando respostas nas alternativas extremas da escala Likert. Por que não usaram o JSD como métrica? Artigo, um pouco enxuto demais.</t>
  </si>
  <si>
    <t xml:space="preserve">Regular. Chegam a uma conclusão que não corresponde aos resultados que apresentam. Vejam que a acurácia é mínima e o JSD alto. Nem fazem uma discussão sobre as distribuições. Apresentação (vídeo) está ilegível. O notebook, sem comentários e organização mínima, com partes que sugerem um notebook em andamento/incompleto. </t>
  </si>
  <si>
    <t>https://github.com/lari-sato/projeto-ia</t>
  </si>
  <si>
    <t>https://github.com/brunoolf/Projeto-IA</t>
  </si>
  <si>
    <t>https://github.com/Murgell/TrabalhoIA</t>
  </si>
  <si>
    <t>Projeto</t>
  </si>
  <si>
    <t>Work</t>
  </si>
  <si>
    <t>10</t>
  </si>
  <si>
    <t>Acuracidade MLP &gt; CNN?</t>
  </si>
  <si>
    <t>Notebook sem os resultados.</t>
  </si>
  <si>
    <t>6</t>
  </si>
  <si>
    <t>Exercício TensorFlow</t>
  </si>
  <si>
    <t>Feedback Projeto</t>
  </si>
  <si>
    <t>Feedback Exercício TensorFlow</t>
  </si>
  <si>
    <t>Google DeepMind</t>
  </si>
  <si>
    <t>Média Exercícios</t>
  </si>
  <si>
    <t>Atividades</t>
  </si>
  <si>
    <t>Atividades_bruto</t>
  </si>
  <si>
    <t>Prova</t>
  </si>
  <si>
    <t>Alunos elegíveis a realizar a Avaliação Final</t>
  </si>
  <si>
    <t>10417401 ANNA LUIZA STELLA SANTOS 2,8</t>
  </si>
  <si>
    <t>10416616 BEATRIZ LIMA DE MOURA 4,4</t>
  </si>
  <si>
    <t>10312871 BERNARDO SOUZA OLIVEIRA 5,6</t>
  </si>
  <si>
    <t>10418358 BRUNA AGUIAR MUCHIUTI 4,0</t>
  </si>
  <si>
    <t>10396330 CAUE MACEDO DE SOUZA 2,5</t>
  </si>
  <si>
    <t>10417877 EDUARDO TAKASHI MISSAKA 4,8</t>
  </si>
  <si>
    <t>10418683 FERNANDO MATHIAS FERRO DOS SANTOS 5,7</t>
  </si>
  <si>
    <t>10364673 FRANCISCO LOSADA TOTARO 5,4</t>
  </si>
  <si>
    <t>10416751 GABRIEL TORTOLIO FONSECA 5,5</t>
  </si>
  <si>
    <t>10417646 GIOVANA SIMOES FRANCO 4,6</t>
  </si>
  <si>
    <t>10408988 GUSTAVO KENZO NAKAZATO SLEIMAN 0,0</t>
  </si>
  <si>
    <t>10418153 HENRIQUE YUJI ISOGAI YONEOKA 5,7</t>
  </si>
  <si>
    <t>10410870 ISMAEL DE SOUSA SILVA 4,8</t>
  </si>
  <si>
    <t>10410293 JOAO ROCHA MURGEL 4,4</t>
  </si>
  <si>
    <t>10417928 JOAO VICTOR MARTINS 5,7</t>
  </si>
  <si>
    <t>10389419 LIVIA NEGRUCCI CANTOWITZ 3,4</t>
  </si>
  <si>
    <t>10409051 MATHEUS HENRIQUE DE OLIVEIRA SANTOS 3,1</t>
  </si>
  <si>
    <t>10417916 NATAN MOREIRA PASSOS 4,1</t>
  </si>
  <si>
    <t>10418357 NICOLAS HENRIQUES DE ALMEIDA 4,8</t>
  </si>
  <si>
    <t>10418118 THOMAS PINHEIRO GRANDIN 3,8</t>
  </si>
  <si>
    <t>10410862 VITOR ALVES PEREIRA 4,4</t>
  </si>
  <si>
    <t>10417401 ANNA LUIZA STELLA SANTOS</t>
  </si>
  <si>
    <t>10416616 BEATRIZ LIMA DE MOURA</t>
  </si>
  <si>
    <t>10312871 BERNARDO SOUZA OLIVEIRA</t>
  </si>
  <si>
    <t>10418358 BRUNA AGUIAR MUCHIUTI</t>
  </si>
  <si>
    <t>10396330 CAUE MACEDO DE SOUZA</t>
  </si>
  <si>
    <t>10417646 GIOVANA SIMOES FRANCO</t>
  </si>
  <si>
    <t>10408988 GUSTAVO KENZO NAKAZATO SLEIMAN</t>
  </si>
  <si>
    <t>10410293 JOAO ROCHA MURGEL</t>
  </si>
  <si>
    <t>10389419 LIVIA NEGRUCCI CANTOWITZ</t>
  </si>
  <si>
    <t>10409051 MATHEUS HENRIQUE DE OLIVEIRA SANTOS</t>
  </si>
  <si>
    <t>10417916 NATAN MOREIRA PASSOS</t>
  </si>
  <si>
    <t>10418357 NICOLAS HENRIQUES DE ALMEIDA</t>
  </si>
  <si>
    <t>10418118 THOMAS PINHEIRO GRANDIN</t>
  </si>
  <si>
    <t>Alunos elegíveis a realizar a Substitutiva</t>
  </si>
  <si>
    <t>10417401 ANNA LUIZA STELLA SANTOS 3,2</t>
  </si>
  <si>
    <t>10416616 BEATRIZ LIMA DE MOURA 4,7</t>
  </si>
  <si>
    <t>10418358 BRUNA AGUIAR MUCHIUTI 4,4</t>
  </si>
  <si>
    <t>10417877 EDUARDO TAKASHI MISSAKA 5,1</t>
  </si>
  <si>
    <t>10416751 GABRIEL TORTOLIO FONSECA 5,8</t>
  </si>
  <si>
    <t>10417646 GIOVANA SIMOES FRANCO 4,9</t>
  </si>
  <si>
    <t>10410870 ISMAEL DE SOUSA SILVA 5,2</t>
  </si>
  <si>
    <t>10389419 LIVIA NEGRUCCI CANTOWITZ 3,7</t>
  </si>
  <si>
    <t>10409051 MATHEUS HENRIQUE DE OLIVEIRA SANTOS 3,4</t>
  </si>
  <si>
    <t>10418357 NICOLAS HENRIQUES DE ALMEIDA 5,2</t>
  </si>
  <si>
    <t>10418118 THOMAS PINHEIRO GRANDIN 4,1</t>
  </si>
  <si>
    <t>10410862 VITOR ALVES PEREIRA 4,8</t>
  </si>
  <si>
    <t>Nota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</si>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</sst>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sz val="11"/>
      <color theme="4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color theme="3" tint="0.39997558519241921"/>
      <name val="Calibri"/>
      <family val="2"/>
    </font>
    <font>
      <b/>
      <sz val="11"/>
      <color rgb="FFC00000"/>
      <name val="Calibri"/>
      <family val="2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 tint="-0.499984740745262"/>
      <name val="Calibri"/>
      <family val="2"/>
    </font>
    <font>
      <sz val="11"/>
      <color theme="0" tint="-0.499984740745262"/>
      <name val="Calibri"/>
      <family val="2"/>
    </font>
    <font>
      <sz val="11"/>
      <color theme="3" tint="0.39997558519241921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sz val="12"/>
      <color theme="0"/>
      <name val="Calibri"/>
      <family val="2"/>
    </font>
    <font>
      <sz val="11"/>
      <color theme="0"/>
      <name val="Calibri"/>
      <family val="2"/>
    </font>
    <font>
      <b/>
      <sz val="12"/>
      <color rgb="FF0070C0"/>
      <name val="Calibri"/>
      <family val="2"/>
    </font>
    <font>
      <sz val="11"/>
      <color rgb="FF0070C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2">
    <xf numFmtId="0" fontId="0" fillId="0" borderId="0" xfId="0"/>
    <xf numFmtId="49" fontId="0" fillId="0" borderId="0" xfId="0" applyNumberFormat="1"/>
    <xf numFmtId="0" fontId="2" fillId="0" borderId="0" xfId="1"/>
    <xf numFmtId="164" fontId="0" fillId="0" borderId="0" xfId="0" applyNumberFormat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left"/>
    </xf>
    <xf numFmtId="49" fontId="1" fillId="0" borderId="0" xfId="0" applyNumberFormat="1" applyFont="1"/>
    <xf numFmtId="1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1" applyBorder="1"/>
    <xf numFmtId="164" fontId="4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3" fillId="0" borderId="0" xfId="0" applyFont="1"/>
    <xf numFmtId="0" fontId="1" fillId="0" borderId="1" xfId="0" applyFont="1" applyBorder="1"/>
    <xf numFmtId="49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2" fillId="0" borderId="1" xfId="1" applyBorder="1"/>
    <xf numFmtId="0" fontId="0" fillId="0" borderId="1" xfId="0" applyBorder="1" applyAlignment="1">
      <alignment horizontal="center"/>
    </xf>
    <xf numFmtId="164" fontId="1" fillId="0" borderId="1" xfId="0" applyNumberFormat="1" applyFont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3" fillId="0" borderId="1" xfId="0" applyFont="1" applyBorder="1"/>
    <xf numFmtId="0" fontId="5" fillId="0" borderId="1" xfId="0" applyFont="1" applyBorder="1"/>
    <xf numFmtId="49" fontId="5" fillId="0" borderId="1" xfId="0" applyNumberFormat="1" applyFont="1" applyBorder="1"/>
    <xf numFmtId="1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2" fillId="0" borderId="1" xfId="1" applyBorder="1" applyAlignment="1">
      <alignment vertical="center"/>
    </xf>
    <xf numFmtId="0" fontId="0" fillId="0" borderId="1" xfId="0" applyBorder="1"/>
    <xf numFmtId="164" fontId="6" fillId="0" borderId="1" xfId="0" applyNumberFormat="1" applyFon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6" fillId="0" borderId="1" xfId="0" applyNumberFormat="1" applyFont="1" applyBorder="1" applyAlignment="1">
      <alignment horizontal="center" wrapText="1"/>
    </xf>
    <xf numFmtId="164" fontId="7" fillId="0" borderId="1" xfId="0" applyNumberFormat="1" applyFont="1" applyBorder="1" applyAlignment="1">
      <alignment horizontal="center" wrapText="1"/>
    </xf>
    <xf numFmtId="164" fontId="7" fillId="0" borderId="0" xfId="0" applyNumberFormat="1" applyFont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49" fontId="11" fillId="0" borderId="0" xfId="0" applyNumberFormat="1" applyFont="1" applyAlignment="1">
      <alignment horizontal="center"/>
    </xf>
    <xf numFmtId="0" fontId="11" fillId="0" borderId="1" xfId="0" applyFont="1" applyBorder="1"/>
    <xf numFmtId="0" fontId="11" fillId="0" borderId="0" xfId="0" applyFont="1"/>
    <xf numFmtId="49" fontId="9" fillId="0" borderId="1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12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0" fontId="12" fillId="0" borderId="1" xfId="0" applyFont="1" applyBorder="1"/>
    <xf numFmtId="0" fontId="13" fillId="0" borderId="0" xfId="0" applyFont="1"/>
    <xf numFmtId="164" fontId="14" fillId="0" borderId="0" xfId="0" applyNumberFormat="1" applyFont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0" fontId="15" fillId="0" borderId="1" xfId="0" applyFont="1" applyBorder="1"/>
    <xf numFmtId="0" fontId="8" fillId="0" borderId="0" xfId="0" applyFont="1"/>
    <xf numFmtId="164" fontId="16" fillId="0" borderId="1" xfId="0" applyNumberFormat="1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0" fontId="18" fillId="0" borderId="0" xfId="0" applyFont="1"/>
    <xf numFmtId="0" fontId="17" fillId="0" borderId="0" xfId="0" applyFont="1" applyBorder="1"/>
    <xf numFmtId="0" fontId="19" fillId="0" borderId="1" xfId="0" applyFont="1" applyBorder="1" applyAlignment="1">
      <alignment horizontal="center"/>
    </xf>
    <xf numFmtId="164" fontId="20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kills.google/public_profiles/7c8a0247-6aa9-4a41-9994-d4067e70cfe8" TargetMode="External"/><Relationship Id="rId13" Type="http://schemas.openxmlformats.org/officeDocument/2006/relationships/hyperlink" Target="https://www.skills.google/public_profiles/de1a741a-eb3d-437f-9549-a0366e4fef73" TargetMode="External"/><Relationship Id="rId18" Type="http://schemas.openxmlformats.org/officeDocument/2006/relationships/hyperlink" Target="https://www.skills.google/public_profiles/1471add6-32b8-4d51-a61a-df448649b77e" TargetMode="External"/><Relationship Id="rId26" Type="http://schemas.openxmlformats.org/officeDocument/2006/relationships/hyperlink" Target="https://www.skills.google/public_profiles/2b930c7b-4420-41f0-ab66-6cb916697f65" TargetMode="External"/><Relationship Id="rId3" Type="http://schemas.openxmlformats.org/officeDocument/2006/relationships/hyperlink" Target="https://www.skills.google/public_profiles/9e5c44f1-8a45-4526-8630-91ef335cc23a" TargetMode="External"/><Relationship Id="rId21" Type="http://schemas.openxmlformats.org/officeDocument/2006/relationships/hyperlink" Target="https://www.skills.google/public_profiles/fe4fffd8-df9c-4d3a-9f38-b8976b32a5df" TargetMode="External"/><Relationship Id="rId7" Type="http://schemas.openxmlformats.org/officeDocument/2006/relationships/hyperlink" Target="https://www.skills.google/public_profiles/d8f4d5ae-24d1-478e-a845-35e25c2aff6c" TargetMode="External"/><Relationship Id="rId12" Type="http://schemas.openxmlformats.org/officeDocument/2006/relationships/hyperlink" Target="https://www.skills.google/public_profiles/2611dc45-acb3-4e62-97ea-26a4f9cb5131" TargetMode="External"/><Relationship Id="rId17" Type="http://schemas.openxmlformats.org/officeDocument/2006/relationships/hyperlink" Target="https://www.skills.google/public_profiles/53c78749-f9ba-4e74-b14c-6ffcd1ed02cf" TargetMode="External"/><Relationship Id="rId25" Type="http://schemas.openxmlformats.org/officeDocument/2006/relationships/hyperlink" Target="https://www.skills.google/public_profiles/3dd3ee0d-c8dd-4dea-af3e-de2ce0a826ed" TargetMode="External"/><Relationship Id="rId2" Type="http://schemas.openxmlformats.org/officeDocument/2006/relationships/hyperlink" Target="https://www.skills.google/public_profiles/6b14b2a2-6a3b-49bf-b674-da4ef9882725" TargetMode="External"/><Relationship Id="rId16" Type="http://schemas.openxmlformats.org/officeDocument/2006/relationships/hyperlink" Target="https://www.skills.google/public_profiles/82aeaaf7-1de9-4838-9377-aeccdd5d5d38" TargetMode="External"/><Relationship Id="rId20" Type="http://schemas.openxmlformats.org/officeDocument/2006/relationships/hyperlink" Target="https://www.skills.google/public_profiles/bbdb82bd-d7a8-4f7f-8b5d-793c039f10aa" TargetMode="External"/><Relationship Id="rId29" Type="http://schemas.openxmlformats.org/officeDocument/2006/relationships/hyperlink" Target="https://www.skills.google/public_profiles/bbd8b5b1-b5f5-46b9-aa61-39764b90c0a1" TargetMode="External"/><Relationship Id="rId1" Type="http://schemas.openxmlformats.org/officeDocument/2006/relationships/hyperlink" Target="https://www.skills.google/public_profiles/500ee132-43c5-4bc9-af7d-0bbf23a48911" TargetMode="External"/><Relationship Id="rId6" Type="http://schemas.openxmlformats.org/officeDocument/2006/relationships/hyperlink" Target="https://www.skills.google/public_profiles/ffd9fca7-0875-45e4-8d82-7631c21627f8" TargetMode="External"/><Relationship Id="rId11" Type="http://schemas.openxmlformats.org/officeDocument/2006/relationships/hyperlink" Target="https://www.skills.google/public_profiles/bac0ce94-ef4d-4f72-bd3f-b9a3215dbe8c" TargetMode="External"/><Relationship Id="rId24" Type="http://schemas.openxmlformats.org/officeDocument/2006/relationships/hyperlink" Target="https://www.skills.google/public_profiles/1f42aec0-9fec-4d48-b12a-6843ae5c4869" TargetMode="External"/><Relationship Id="rId5" Type="http://schemas.openxmlformats.org/officeDocument/2006/relationships/hyperlink" Target="https://www.skills.google/public_profiles/049c6066-3cac-4fc7-86d0-f4921e01ca78" TargetMode="External"/><Relationship Id="rId15" Type="http://schemas.openxmlformats.org/officeDocument/2006/relationships/hyperlink" Target="https://www.skills.google/public_profiles/3e9b29e4-e00f-4319-b4fe-9a723416c8b1" TargetMode="External"/><Relationship Id="rId23" Type="http://schemas.openxmlformats.org/officeDocument/2006/relationships/hyperlink" Target="https://www.skills.google/public_profiles/d2cf66ed-a4b6-4001-ae81-bac2efd961f5" TargetMode="External"/><Relationship Id="rId28" Type="http://schemas.openxmlformats.org/officeDocument/2006/relationships/hyperlink" Target="https://www.skills.google/public_profiles/6a5eec82-8b60-4a88-9854-71260e8b3dcb" TargetMode="External"/><Relationship Id="rId10" Type="http://schemas.openxmlformats.org/officeDocument/2006/relationships/hyperlink" Target="https://www.skills.google/public_profiles/c03264ed-091b-4e83-979b-7efc362588fa" TargetMode="External"/><Relationship Id="rId19" Type="http://schemas.openxmlformats.org/officeDocument/2006/relationships/hyperlink" Target="https://www.skills.google/public_profiles/60207089-7f50-4e18-86cc-27a8cba7b288" TargetMode="External"/><Relationship Id="rId4" Type="http://schemas.openxmlformats.org/officeDocument/2006/relationships/hyperlink" Target="https://www.skills.google/public_profiles/b818b6f3-fa81-4a1e-b182-1ed209d19463" TargetMode="External"/><Relationship Id="rId9" Type="http://schemas.openxmlformats.org/officeDocument/2006/relationships/hyperlink" Target="https://www.skills.google/public_profiles/a1f238aa-ccf4-4151-bcbe-3fc90f4af7f2" TargetMode="External"/><Relationship Id="rId14" Type="http://schemas.openxmlformats.org/officeDocument/2006/relationships/hyperlink" Target="https://www.skills.google/public_profiles/21053c0c-6229-4327-b55b-831273556c0b" TargetMode="External"/><Relationship Id="rId22" Type="http://schemas.openxmlformats.org/officeDocument/2006/relationships/hyperlink" Target="https://www.skills.google/public_profiles/6a862fbf-9929-48d2-bfc5-cc069ead002c" TargetMode="External"/><Relationship Id="rId27" Type="http://schemas.openxmlformats.org/officeDocument/2006/relationships/hyperlink" Target="https://www.skills.google/public_profiles/c12cd2ce-8770-4076-b9cd-594a79e9446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kills.google/public_profiles/7c8a0247-6aa9-4a41-9994-d4067e70cfe8" TargetMode="External"/><Relationship Id="rId13" Type="http://schemas.openxmlformats.org/officeDocument/2006/relationships/hyperlink" Target="https://www.skills.google/public_profiles/de1a741a-eb3d-437f-9549-a0366e4fef73" TargetMode="External"/><Relationship Id="rId18" Type="http://schemas.openxmlformats.org/officeDocument/2006/relationships/hyperlink" Target="https://www.skills.google/public_profiles/1471add6-32b8-4d51-a61a-df448649b77e" TargetMode="External"/><Relationship Id="rId26" Type="http://schemas.openxmlformats.org/officeDocument/2006/relationships/hyperlink" Target="https://www.skills.google/public_profiles/2b930c7b-4420-41f0-ab66-6cb916697f65" TargetMode="External"/><Relationship Id="rId3" Type="http://schemas.openxmlformats.org/officeDocument/2006/relationships/hyperlink" Target="https://www.skills.google/public_profiles/9e5c44f1-8a45-4526-8630-91ef335cc23a" TargetMode="External"/><Relationship Id="rId21" Type="http://schemas.openxmlformats.org/officeDocument/2006/relationships/hyperlink" Target="https://www.skills.google/public_profiles/fe4fffd8-df9c-4d3a-9f38-b8976b32a5df" TargetMode="External"/><Relationship Id="rId7" Type="http://schemas.openxmlformats.org/officeDocument/2006/relationships/hyperlink" Target="https://www.skills.google/public_profiles/d8f4d5ae-24d1-478e-a845-35e25c2aff6c" TargetMode="External"/><Relationship Id="rId12" Type="http://schemas.openxmlformats.org/officeDocument/2006/relationships/hyperlink" Target="https://www.skills.google/public_profiles/2611dc45-acb3-4e62-97ea-26a4f9cb5131" TargetMode="External"/><Relationship Id="rId17" Type="http://schemas.openxmlformats.org/officeDocument/2006/relationships/hyperlink" Target="https://www.skills.google/public_profiles/53c78749-f9ba-4e74-b14c-6ffcd1ed02cf" TargetMode="External"/><Relationship Id="rId25" Type="http://schemas.openxmlformats.org/officeDocument/2006/relationships/hyperlink" Target="https://www.skills.google/public_profiles/3dd3ee0d-c8dd-4dea-af3e-de2ce0a826ed" TargetMode="External"/><Relationship Id="rId2" Type="http://schemas.openxmlformats.org/officeDocument/2006/relationships/hyperlink" Target="https://www.skills.google/public_profiles/6b14b2a2-6a3b-49bf-b674-da4ef9882725" TargetMode="External"/><Relationship Id="rId16" Type="http://schemas.openxmlformats.org/officeDocument/2006/relationships/hyperlink" Target="https://www.skills.google/public_profiles/82aeaaf7-1de9-4838-9377-aeccdd5d5d38" TargetMode="External"/><Relationship Id="rId20" Type="http://schemas.openxmlformats.org/officeDocument/2006/relationships/hyperlink" Target="https://www.skills.google/public_profiles/bbdb82bd-d7a8-4f7f-8b5d-793c039f10aa" TargetMode="External"/><Relationship Id="rId29" Type="http://schemas.openxmlformats.org/officeDocument/2006/relationships/hyperlink" Target="https://www.skills.google/public_profiles/bbd8b5b1-b5f5-46b9-aa61-39764b90c0a1" TargetMode="External"/><Relationship Id="rId1" Type="http://schemas.openxmlformats.org/officeDocument/2006/relationships/hyperlink" Target="https://www.skills.google/public_profiles/500ee132-43c5-4bc9-af7d-0bbf23a48911" TargetMode="External"/><Relationship Id="rId6" Type="http://schemas.openxmlformats.org/officeDocument/2006/relationships/hyperlink" Target="https://www.skills.google/public_profiles/ffd9fca7-0875-45e4-8d82-7631c21627f8" TargetMode="External"/><Relationship Id="rId11" Type="http://schemas.openxmlformats.org/officeDocument/2006/relationships/hyperlink" Target="https://www.skills.google/public_profiles/bac0ce94-ef4d-4f72-bd3f-b9a3215dbe8c" TargetMode="External"/><Relationship Id="rId24" Type="http://schemas.openxmlformats.org/officeDocument/2006/relationships/hyperlink" Target="https://www.skills.google/public_profiles/1f42aec0-9fec-4d48-b12a-6843ae5c4869" TargetMode="External"/><Relationship Id="rId5" Type="http://schemas.openxmlformats.org/officeDocument/2006/relationships/hyperlink" Target="https://www.skills.google/public_profiles/049c6066-3cac-4fc7-86d0-f4921e01ca78" TargetMode="External"/><Relationship Id="rId15" Type="http://schemas.openxmlformats.org/officeDocument/2006/relationships/hyperlink" Target="https://www.skills.google/public_profiles/3e9b29e4-e00f-4319-b4fe-9a723416c8b1" TargetMode="External"/><Relationship Id="rId23" Type="http://schemas.openxmlformats.org/officeDocument/2006/relationships/hyperlink" Target="https://www.skills.google/public_profiles/d2cf66ed-a4b6-4001-ae81-bac2efd961f5" TargetMode="External"/><Relationship Id="rId28" Type="http://schemas.openxmlformats.org/officeDocument/2006/relationships/hyperlink" Target="https://www.skills.google/public_profiles/6a5eec82-8b60-4a88-9854-71260e8b3dcb" TargetMode="External"/><Relationship Id="rId10" Type="http://schemas.openxmlformats.org/officeDocument/2006/relationships/hyperlink" Target="https://www.skills.google/public_profiles/c03264ed-091b-4e83-979b-7efc362588fa" TargetMode="External"/><Relationship Id="rId19" Type="http://schemas.openxmlformats.org/officeDocument/2006/relationships/hyperlink" Target="https://www.skills.google/public_profiles/60207089-7f50-4e18-86cc-27a8cba7b288" TargetMode="External"/><Relationship Id="rId4" Type="http://schemas.openxmlformats.org/officeDocument/2006/relationships/hyperlink" Target="https://www.skills.google/public_profiles/b818b6f3-fa81-4a1e-b182-1ed209d19463" TargetMode="External"/><Relationship Id="rId9" Type="http://schemas.openxmlformats.org/officeDocument/2006/relationships/hyperlink" Target="https://www.skills.google/public_profiles/a1f238aa-ccf4-4151-bcbe-3fc90f4af7f2" TargetMode="External"/><Relationship Id="rId14" Type="http://schemas.openxmlformats.org/officeDocument/2006/relationships/hyperlink" Target="https://www.skills.google/public_profiles/21053c0c-6229-4327-b55b-831273556c0b" TargetMode="External"/><Relationship Id="rId22" Type="http://schemas.openxmlformats.org/officeDocument/2006/relationships/hyperlink" Target="https://www.skills.google/public_profiles/6a862fbf-9929-48d2-bfc5-cc069ead002c" TargetMode="External"/><Relationship Id="rId27" Type="http://schemas.openxmlformats.org/officeDocument/2006/relationships/hyperlink" Target="https://www.skills.google/public_profiles/c12cd2ce-8770-4076-b9cd-594a79e944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workbookViewId="0">
      <selection activeCell="I16" sqref="I16"/>
    </sheetView>
  </sheetViews>
  <sheetFormatPr defaultRowHeight="15" x14ac:dyDescent="0.25"/>
  <cols>
    <col min="1" max="1" width="44.85546875" bestFit="1" customWidth="1"/>
    <col min="2" max="2" width="15.5703125" hidden="1" customWidth="1"/>
    <col min="3" max="5" width="9.140625" hidden="1" customWidth="1"/>
    <col min="6" max="6" width="5.5703125" style="4" hidden="1" customWidth="1"/>
    <col min="7" max="7" width="9.140625" hidden="1" customWidth="1"/>
    <col min="8" max="8" width="4.85546875" style="5" customWidth="1"/>
    <col min="9" max="9" width="12.85546875" style="35" customWidth="1"/>
    <col min="10" max="10" width="12.85546875" style="8" customWidth="1"/>
    <col min="11" max="11" width="4.85546875" style="4" customWidth="1"/>
    <col min="12" max="12" width="12.85546875" style="35" customWidth="1"/>
    <col min="13" max="13" width="12.85546875" style="8" customWidth="1"/>
    <col min="14" max="14" width="5.28515625" style="4" customWidth="1"/>
    <col min="15" max="15" width="12.85546875" style="36" customWidth="1"/>
    <col min="16" max="16" width="12.85546875" customWidth="1"/>
    <col min="17" max="17" width="12.85546875" style="35" customWidth="1"/>
    <col min="18" max="19" width="12.85546875" style="3" customWidth="1"/>
  </cols>
  <sheetData>
    <row r="1" spans="1:19" ht="45" x14ac:dyDescent="0.25">
      <c r="A1" s="26" t="s">
        <v>151</v>
      </c>
      <c r="B1" s="27" t="s">
        <v>0</v>
      </c>
      <c r="C1" s="27" t="s">
        <v>1</v>
      </c>
      <c r="D1" s="27" t="s">
        <v>151</v>
      </c>
      <c r="E1" s="27" t="s">
        <v>2</v>
      </c>
      <c r="F1" s="28" t="s">
        <v>153</v>
      </c>
      <c r="G1" s="27" t="s">
        <v>154</v>
      </c>
      <c r="H1" s="29" t="s">
        <v>155</v>
      </c>
      <c r="I1" s="34" t="s">
        <v>156</v>
      </c>
      <c r="J1" s="30" t="s">
        <v>157</v>
      </c>
      <c r="K1" s="28" t="s">
        <v>165</v>
      </c>
      <c r="L1" s="34" t="s">
        <v>166</v>
      </c>
      <c r="M1" s="30" t="s">
        <v>167</v>
      </c>
      <c r="N1" s="28" t="s">
        <v>171</v>
      </c>
      <c r="O1" s="34" t="s">
        <v>172</v>
      </c>
      <c r="P1" s="31" t="s">
        <v>173</v>
      </c>
      <c r="Q1" s="37" t="s">
        <v>183</v>
      </c>
      <c r="R1" s="38" t="s">
        <v>182</v>
      </c>
      <c r="S1" s="38" t="s">
        <v>181</v>
      </c>
    </row>
    <row r="2" spans="1:19" x14ac:dyDescent="0.25">
      <c r="A2" s="7" t="str">
        <f t="shared" ref="A2:A42" si="0">_xlfn.CONCAT(B2,"  ",C2)</f>
        <v>ALEX  KAZUO KODAMA</v>
      </c>
      <c r="B2" s="1" t="s">
        <v>43</v>
      </c>
      <c r="C2" s="1" t="s">
        <v>44</v>
      </c>
      <c r="D2" s="9" t="s">
        <v>152</v>
      </c>
      <c r="E2" s="1" t="s">
        <v>45</v>
      </c>
      <c r="F2" s="4">
        <v>5</v>
      </c>
      <c r="G2" s="14" t="s">
        <v>122</v>
      </c>
      <c r="H2" s="5">
        <v>1</v>
      </c>
      <c r="I2" s="35">
        <v>10</v>
      </c>
      <c r="K2" s="4">
        <v>1</v>
      </c>
      <c r="L2" s="35">
        <v>10</v>
      </c>
      <c r="M2" s="15" t="s">
        <v>170</v>
      </c>
      <c r="N2" s="4">
        <v>1</v>
      </c>
      <c r="O2" s="35">
        <v>9</v>
      </c>
      <c r="P2" s="7" t="s">
        <v>179</v>
      </c>
      <c r="Q2" s="35">
        <f t="shared" ref="Q2:Q42" si="1">IF(F2&gt;=4,10,IF(F2=3,5,0))</f>
        <v>10</v>
      </c>
      <c r="R2" s="39">
        <f t="shared" ref="R2:R42" si="2">ROUND(AVERAGE(Q2,I2,L2,O2),0.5)</f>
        <v>10</v>
      </c>
      <c r="S2" s="39">
        <v>4.5</v>
      </c>
    </row>
    <row r="3" spans="1:19" x14ac:dyDescent="0.25">
      <c r="A3" s="7" t="str">
        <f t="shared" si="0"/>
        <v>ANDRE  MOREIRA GUIMARAES</v>
      </c>
      <c r="B3" s="1" t="s">
        <v>71</v>
      </c>
      <c r="C3" s="1" t="s">
        <v>72</v>
      </c>
      <c r="D3" s="1"/>
      <c r="E3" s="1" t="s">
        <v>73</v>
      </c>
      <c r="H3" s="5">
        <v>7</v>
      </c>
      <c r="I3" s="35">
        <v>10</v>
      </c>
      <c r="J3" s="16" t="s">
        <v>162</v>
      </c>
      <c r="K3" s="4">
        <v>7</v>
      </c>
      <c r="L3" s="35">
        <v>9</v>
      </c>
      <c r="M3" s="12" t="s">
        <v>169</v>
      </c>
      <c r="N3" s="4">
        <v>7</v>
      </c>
      <c r="O3" s="35">
        <v>9</v>
      </c>
      <c r="P3" s="7" t="s">
        <v>177</v>
      </c>
      <c r="Q3" s="35">
        <f t="shared" si="1"/>
        <v>0</v>
      </c>
      <c r="R3" s="39">
        <f t="shared" si="2"/>
        <v>7</v>
      </c>
      <c r="S3" s="39">
        <v>8.5</v>
      </c>
    </row>
    <row r="4" spans="1:19" x14ac:dyDescent="0.25">
      <c r="A4" s="7" t="str">
        <f t="shared" si="0"/>
        <v>ANNA  LUIZA STELLA SANTOS</v>
      </c>
      <c r="B4" s="1" t="s">
        <v>62</v>
      </c>
      <c r="C4" s="1" t="s">
        <v>63</v>
      </c>
      <c r="D4" s="1"/>
      <c r="E4" s="1" t="s">
        <v>64</v>
      </c>
      <c r="F4" s="4">
        <v>3</v>
      </c>
      <c r="G4" s="14" t="s">
        <v>123</v>
      </c>
      <c r="H4" s="5">
        <v>2</v>
      </c>
      <c r="I4" s="35">
        <v>8</v>
      </c>
      <c r="J4" s="12" t="s">
        <v>158</v>
      </c>
      <c r="K4" s="4">
        <v>2</v>
      </c>
      <c r="L4" s="35">
        <v>9</v>
      </c>
      <c r="M4" s="12" t="s">
        <v>169</v>
      </c>
      <c r="N4" s="4">
        <v>2</v>
      </c>
      <c r="O4" s="35">
        <v>10</v>
      </c>
      <c r="P4" s="17" t="s">
        <v>174</v>
      </c>
      <c r="Q4" s="35">
        <f t="shared" si="1"/>
        <v>5</v>
      </c>
      <c r="R4" s="39">
        <f t="shared" si="2"/>
        <v>8</v>
      </c>
      <c r="S4" s="39"/>
    </row>
    <row r="5" spans="1:19" x14ac:dyDescent="0.25">
      <c r="A5" s="18" t="str">
        <f t="shared" si="0"/>
        <v>BEATRIZ  LIMA DE MOURA</v>
      </c>
      <c r="B5" s="19" t="s">
        <v>56</v>
      </c>
      <c r="C5" s="19" t="s">
        <v>57</v>
      </c>
      <c r="D5" s="19"/>
      <c r="E5" s="19" t="s">
        <v>58</v>
      </c>
      <c r="F5" s="20">
        <v>4</v>
      </c>
      <c r="G5" s="21" t="s">
        <v>124</v>
      </c>
      <c r="H5" s="22">
        <v>3</v>
      </c>
      <c r="I5" s="34">
        <v>4</v>
      </c>
      <c r="J5" s="23" t="s">
        <v>159</v>
      </c>
      <c r="K5" s="20">
        <v>3</v>
      </c>
      <c r="L5" s="34">
        <v>10</v>
      </c>
      <c r="M5" s="24"/>
      <c r="N5" s="20">
        <v>3</v>
      </c>
      <c r="O5" s="34">
        <v>10</v>
      </c>
      <c r="P5" s="25" t="s">
        <v>178</v>
      </c>
      <c r="Q5" s="34">
        <f t="shared" si="1"/>
        <v>10</v>
      </c>
      <c r="R5" s="40">
        <f t="shared" si="2"/>
        <v>9</v>
      </c>
      <c r="S5" s="40"/>
    </row>
    <row r="6" spans="1:19" x14ac:dyDescent="0.25">
      <c r="A6" s="7" t="str">
        <f t="shared" si="0"/>
        <v>BERNARDO  SOUZA OLIVEIRA</v>
      </c>
      <c r="B6" s="1" t="s">
        <v>104</v>
      </c>
      <c r="C6" s="1" t="s">
        <v>105</v>
      </c>
      <c r="D6" s="9"/>
      <c r="E6" s="1" t="s">
        <v>106</v>
      </c>
      <c r="F6" s="10">
        <v>5</v>
      </c>
      <c r="G6" s="1" t="s">
        <v>125</v>
      </c>
      <c r="H6" s="11">
        <v>7</v>
      </c>
      <c r="I6" s="35">
        <v>10</v>
      </c>
      <c r="J6" s="12"/>
      <c r="K6" s="10">
        <v>7</v>
      </c>
      <c r="L6" s="35">
        <v>9</v>
      </c>
      <c r="M6" s="12"/>
      <c r="N6" s="10">
        <v>7</v>
      </c>
      <c r="O6" s="35">
        <v>9</v>
      </c>
      <c r="P6" s="13"/>
      <c r="Q6" s="35">
        <f t="shared" si="1"/>
        <v>10</v>
      </c>
      <c r="R6" s="39">
        <f t="shared" si="2"/>
        <v>10</v>
      </c>
      <c r="S6" s="39"/>
    </row>
    <row r="7" spans="1:19" x14ac:dyDescent="0.25">
      <c r="A7" s="7" t="str">
        <f t="shared" si="0"/>
        <v>BRUNA  AGUIAR MUCHIUTI</v>
      </c>
      <c r="B7" s="1" t="s">
        <v>3</v>
      </c>
      <c r="C7" s="1" t="s">
        <v>4</v>
      </c>
      <c r="D7" s="9"/>
      <c r="E7" s="1" t="s">
        <v>5</v>
      </c>
      <c r="F7" s="4">
        <v>5</v>
      </c>
      <c r="G7" s="14" t="s">
        <v>150</v>
      </c>
      <c r="H7" s="5">
        <v>9</v>
      </c>
      <c r="I7" s="35">
        <v>10</v>
      </c>
      <c r="J7" s="8" t="s">
        <v>163</v>
      </c>
      <c r="K7" s="4">
        <v>9</v>
      </c>
      <c r="L7" s="35">
        <v>10</v>
      </c>
      <c r="M7" s="15"/>
      <c r="N7" s="4">
        <v>9</v>
      </c>
      <c r="O7" s="35">
        <v>10</v>
      </c>
      <c r="P7" s="7"/>
      <c r="Q7" s="35">
        <f t="shared" si="1"/>
        <v>10</v>
      </c>
      <c r="R7" s="39">
        <f t="shared" si="2"/>
        <v>10</v>
      </c>
      <c r="S7" s="39"/>
    </row>
    <row r="8" spans="1:19" x14ac:dyDescent="0.25">
      <c r="A8" s="7" t="str">
        <f t="shared" si="0"/>
        <v>BRUNO  ANTICO GALIN</v>
      </c>
      <c r="B8" s="1" t="s">
        <v>10</v>
      </c>
      <c r="C8" s="1" t="s">
        <v>11</v>
      </c>
      <c r="D8" s="1"/>
      <c r="E8" s="1" t="s">
        <v>12</v>
      </c>
      <c r="F8" s="4">
        <v>5</v>
      </c>
      <c r="G8" t="s">
        <v>126</v>
      </c>
      <c r="H8" s="5">
        <v>4</v>
      </c>
      <c r="I8" s="35">
        <v>2</v>
      </c>
      <c r="J8" s="16" t="s">
        <v>160</v>
      </c>
      <c r="K8" s="4">
        <v>4</v>
      </c>
      <c r="L8" s="35">
        <v>6</v>
      </c>
      <c r="M8" s="12" t="s">
        <v>168</v>
      </c>
      <c r="N8" s="4">
        <v>4</v>
      </c>
      <c r="O8" s="35">
        <v>10</v>
      </c>
      <c r="P8" s="7" t="s">
        <v>175</v>
      </c>
      <c r="Q8" s="35">
        <f t="shared" si="1"/>
        <v>10</v>
      </c>
      <c r="R8" s="39">
        <f t="shared" si="2"/>
        <v>7</v>
      </c>
      <c r="S8" s="39">
        <v>6</v>
      </c>
    </row>
    <row r="9" spans="1:19" x14ac:dyDescent="0.25">
      <c r="A9" s="7" t="str">
        <f t="shared" si="0"/>
        <v>BRUNO  LAUAND FERRAO</v>
      </c>
      <c r="B9" s="1" t="s">
        <v>10</v>
      </c>
      <c r="C9" s="1" t="s">
        <v>52</v>
      </c>
      <c r="D9" s="1"/>
      <c r="E9" s="1" t="s">
        <v>53</v>
      </c>
      <c r="F9" s="4">
        <v>3</v>
      </c>
      <c r="G9" s="14" t="s">
        <v>127</v>
      </c>
      <c r="H9" s="5">
        <v>5</v>
      </c>
      <c r="I9" s="35">
        <v>8</v>
      </c>
      <c r="J9" s="12" t="s">
        <v>161</v>
      </c>
      <c r="K9" s="4">
        <v>5</v>
      </c>
      <c r="L9" s="35">
        <v>9</v>
      </c>
      <c r="M9" s="12" t="s">
        <v>161</v>
      </c>
      <c r="N9" s="4">
        <v>5</v>
      </c>
      <c r="O9" s="35">
        <v>10</v>
      </c>
      <c r="P9" s="17" t="s">
        <v>176</v>
      </c>
      <c r="Q9" s="35">
        <f t="shared" si="1"/>
        <v>5</v>
      </c>
      <c r="R9" s="39">
        <f t="shared" si="2"/>
        <v>8</v>
      </c>
      <c r="S9" s="39">
        <v>8.5</v>
      </c>
    </row>
    <row r="10" spans="1:19" x14ac:dyDescent="0.25">
      <c r="A10" s="18" t="str">
        <f t="shared" si="0"/>
        <v>CAUE  MACEDO DE SOUZA</v>
      </c>
      <c r="B10" s="19" t="s">
        <v>65</v>
      </c>
      <c r="C10" s="19" t="s">
        <v>66</v>
      </c>
      <c r="D10" s="19"/>
      <c r="E10" s="19" t="s">
        <v>67</v>
      </c>
      <c r="F10" s="20"/>
      <c r="G10" s="21"/>
      <c r="H10" s="22"/>
      <c r="I10" s="34"/>
      <c r="J10" s="23"/>
      <c r="K10" s="20"/>
      <c r="L10" s="34"/>
      <c r="M10" s="24"/>
      <c r="N10" s="20"/>
      <c r="O10" s="34"/>
      <c r="P10" s="25"/>
      <c r="Q10" s="34">
        <f t="shared" si="1"/>
        <v>0</v>
      </c>
      <c r="R10" s="40">
        <f t="shared" si="2"/>
        <v>0</v>
      </c>
      <c r="S10" s="40">
        <v>4</v>
      </c>
    </row>
    <row r="11" spans="1:19" x14ac:dyDescent="0.25">
      <c r="A11" s="7" t="str">
        <f t="shared" si="0"/>
        <v>CLEVERSON  PEREIRA DA SILVA</v>
      </c>
      <c r="B11" s="1" t="s">
        <v>83</v>
      </c>
      <c r="C11" s="1" t="s">
        <v>84</v>
      </c>
      <c r="D11" s="9"/>
      <c r="E11" s="1" t="s">
        <v>85</v>
      </c>
      <c r="F11" s="10">
        <v>5</v>
      </c>
      <c r="G11" s="1" t="s">
        <v>128</v>
      </c>
      <c r="H11" s="11">
        <v>4</v>
      </c>
      <c r="I11" s="35">
        <v>2</v>
      </c>
      <c r="J11" s="12"/>
      <c r="K11" s="10">
        <v>4</v>
      </c>
      <c r="L11" s="35">
        <v>6</v>
      </c>
      <c r="M11" s="12"/>
      <c r="N11" s="10">
        <v>4</v>
      </c>
      <c r="O11" s="35">
        <v>10</v>
      </c>
      <c r="P11" s="13"/>
      <c r="Q11" s="35">
        <f t="shared" si="1"/>
        <v>10</v>
      </c>
      <c r="R11" s="39">
        <f t="shared" si="2"/>
        <v>7</v>
      </c>
      <c r="S11" s="39">
        <v>8</v>
      </c>
    </row>
    <row r="12" spans="1:19" x14ac:dyDescent="0.25">
      <c r="A12" s="7" t="str">
        <f t="shared" si="0"/>
        <v>EDUARDO  OLIVEIRA CARVALHO</v>
      </c>
      <c r="B12" s="1" t="s">
        <v>77</v>
      </c>
      <c r="C12" s="1" t="s">
        <v>78</v>
      </c>
      <c r="D12" s="9"/>
      <c r="E12" s="1" t="s">
        <v>79</v>
      </c>
      <c r="F12" s="4">
        <v>5</v>
      </c>
      <c r="G12" s="14" t="s">
        <v>129</v>
      </c>
      <c r="H12" s="5">
        <v>6</v>
      </c>
      <c r="I12" s="35">
        <v>10</v>
      </c>
      <c r="K12" s="4">
        <v>6</v>
      </c>
      <c r="L12" s="35">
        <v>10</v>
      </c>
      <c r="M12" s="15"/>
      <c r="O12" s="35"/>
      <c r="P12" s="7"/>
      <c r="Q12" s="35">
        <f t="shared" si="1"/>
        <v>10</v>
      </c>
      <c r="R12" s="39">
        <f t="shared" si="2"/>
        <v>10</v>
      </c>
      <c r="S12" s="39">
        <v>7.5</v>
      </c>
    </row>
    <row r="13" spans="1:19" x14ac:dyDescent="0.25">
      <c r="A13" s="7" t="str">
        <f t="shared" si="0"/>
        <v>EDUARDO  TAKASHI MISSAKA</v>
      </c>
      <c r="B13" s="1" t="s">
        <v>77</v>
      </c>
      <c r="C13" s="1" t="s">
        <v>107</v>
      </c>
      <c r="D13" s="1"/>
      <c r="E13" s="1" t="s">
        <v>108</v>
      </c>
      <c r="F13" s="4">
        <v>5</v>
      </c>
      <c r="G13" t="s">
        <v>130</v>
      </c>
      <c r="H13" s="5">
        <v>4</v>
      </c>
      <c r="I13" s="35">
        <v>2</v>
      </c>
      <c r="J13" s="16"/>
      <c r="K13" s="4">
        <v>4</v>
      </c>
      <c r="L13" s="35">
        <v>6</v>
      </c>
      <c r="M13" s="12"/>
      <c r="N13" s="4">
        <v>4</v>
      </c>
      <c r="O13" s="35">
        <v>10</v>
      </c>
      <c r="P13" s="7"/>
      <c r="Q13" s="35">
        <f t="shared" si="1"/>
        <v>10</v>
      </c>
      <c r="R13" s="39">
        <f t="shared" si="2"/>
        <v>7</v>
      </c>
      <c r="S13" s="39">
        <v>3</v>
      </c>
    </row>
    <row r="14" spans="1:19" x14ac:dyDescent="0.25">
      <c r="A14" s="7" t="str">
        <f t="shared" si="0"/>
        <v>ENZO  BENEDETTO PROENCA</v>
      </c>
      <c r="B14" s="1" t="s">
        <v>22</v>
      </c>
      <c r="C14" s="1" t="s">
        <v>23</v>
      </c>
      <c r="D14" s="1"/>
      <c r="E14" s="1" t="s">
        <v>24</v>
      </c>
      <c r="F14" s="4">
        <v>5</v>
      </c>
      <c r="G14" s="14" t="s">
        <v>131</v>
      </c>
      <c r="H14" s="5" t="s">
        <v>8</v>
      </c>
      <c r="J14" s="12"/>
      <c r="K14" s="4">
        <v>11</v>
      </c>
      <c r="L14" s="35">
        <v>8</v>
      </c>
      <c r="M14" s="12" t="s">
        <v>161</v>
      </c>
      <c r="N14" s="10" t="s">
        <v>8</v>
      </c>
      <c r="O14" s="35"/>
      <c r="P14" s="17"/>
      <c r="Q14" s="35">
        <f t="shared" si="1"/>
        <v>10</v>
      </c>
      <c r="R14" s="39">
        <f t="shared" si="2"/>
        <v>9</v>
      </c>
      <c r="S14" s="39">
        <v>4</v>
      </c>
    </row>
    <row r="15" spans="1:19" x14ac:dyDescent="0.25">
      <c r="A15" s="18" t="str">
        <f t="shared" si="0"/>
        <v>FELIPE  VIVIANI SCHULZE</v>
      </c>
      <c r="B15" s="19" t="s">
        <v>113</v>
      </c>
      <c r="C15" s="19" t="s">
        <v>114</v>
      </c>
      <c r="D15" s="19"/>
      <c r="E15" s="19" t="s">
        <v>115</v>
      </c>
      <c r="F15" s="20">
        <v>4</v>
      </c>
      <c r="G15" s="21" t="s">
        <v>132</v>
      </c>
      <c r="H15" s="22">
        <v>6</v>
      </c>
      <c r="I15" s="34">
        <v>10</v>
      </c>
      <c r="J15" s="23"/>
      <c r="K15" s="20">
        <v>6</v>
      </c>
      <c r="L15" s="34">
        <v>10</v>
      </c>
      <c r="M15" s="24"/>
      <c r="N15" s="20"/>
      <c r="O15" s="34"/>
      <c r="P15" s="25"/>
      <c r="Q15" s="34">
        <f t="shared" si="1"/>
        <v>10</v>
      </c>
      <c r="R15" s="40">
        <f t="shared" si="2"/>
        <v>10</v>
      </c>
      <c r="S15" s="40">
        <v>5</v>
      </c>
    </row>
    <row r="16" spans="1:19" x14ac:dyDescent="0.25">
      <c r="A16" s="7" t="str">
        <f t="shared" si="0"/>
        <v>FERNANDO  MATHIAS FERRO DOS SANTOS</v>
      </c>
      <c r="B16" s="1" t="s">
        <v>68</v>
      </c>
      <c r="C16" s="1" t="s">
        <v>69</v>
      </c>
      <c r="D16" s="9"/>
      <c r="E16" s="1" t="s">
        <v>70</v>
      </c>
      <c r="F16" s="10">
        <v>5</v>
      </c>
      <c r="G16" s="1" t="s">
        <v>133</v>
      </c>
      <c r="H16" s="11">
        <v>6</v>
      </c>
      <c r="I16" s="35">
        <v>10</v>
      </c>
      <c r="J16" s="12"/>
      <c r="K16" s="10">
        <v>6</v>
      </c>
      <c r="L16" s="35">
        <v>10</v>
      </c>
      <c r="M16" s="12"/>
      <c r="N16" s="10"/>
      <c r="O16" s="35"/>
      <c r="P16" s="13"/>
      <c r="Q16" s="35">
        <f t="shared" si="1"/>
        <v>10</v>
      </c>
      <c r="R16" s="39">
        <f t="shared" si="2"/>
        <v>10</v>
      </c>
      <c r="S16" s="39">
        <v>5</v>
      </c>
    </row>
    <row r="17" spans="1:19" x14ac:dyDescent="0.25">
      <c r="A17" s="7" t="str">
        <f t="shared" si="0"/>
        <v>FRANCISCO  LOSADA TOTARO</v>
      </c>
      <c r="B17" s="1" t="s">
        <v>59</v>
      </c>
      <c r="C17" s="1" t="s">
        <v>60</v>
      </c>
      <c r="D17" s="9"/>
      <c r="E17" s="1" t="s">
        <v>61</v>
      </c>
      <c r="F17" s="4">
        <v>5</v>
      </c>
      <c r="G17" s="14" t="s">
        <v>134</v>
      </c>
      <c r="H17" s="5">
        <v>6</v>
      </c>
      <c r="I17" s="35">
        <v>10</v>
      </c>
      <c r="K17" s="4">
        <v>6</v>
      </c>
      <c r="L17" s="35">
        <v>10</v>
      </c>
      <c r="M17" s="15"/>
      <c r="O17" s="35"/>
      <c r="P17" s="7"/>
      <c r="Q17" s="35">
        <f t="shared" si="1"/>
        <v>10</v>
      </c>
      <c r="R17" s="39">
        <f t="shared" si="2"/>
        <v>10</v>
      </c>
      <c r="S17" s="39">
        <v>3.5</v>
      </c>
    </row>
    <row r="18" spans="1:19" x14ac:dyDescent="0.25">
      <c r="A18" s="7" t="str">
        <f t="shared" si="0"/>
        <v>GABRIEL  KEN KAZAMA GERONAZZO</v>
      </c>
      <c r="B18" s="1" t="s">
        <v>46</v>
      </c>
      <c r="C18" s="1" t="s">
        <v>47</v>
      </c>
      <c r="D18" s="1"/>
      <c r="E18" s="1" t="s">
        <v>48</v>
      </c>
      <c r="F18" s="4">
        <v>5</v>
      </c>
      <c r="G18" t="s">
        <v>135</v>
      </c>
      <c r="H18" s="5">
        <v>9</v>
      </c>
      <c r="I18" s="35">
        <v>10</v>
      </c>
      <c r="J18" s="16"/>
      <c r="K18" s="4">
        <v>9</v>
      </c>
      <c r="L18" s="35">
        <v>10</v>
      </c>
      <c r="M18" s="12"/>
      <c r="N18" s="4">
        <v>9</v>
      </c>
      <c r="O18" s="35">
        <v>10</v>
      </c>
      <c r="P18" s="7"/>
      <c r="Q18" s="35">
        <f t="shared" si="1"/>
        <v>10</v>
      </c>
      <c r="R18" s="39">
        <f t="shared" si="2"/>
        <v>10</v>
      </c>
      <c r="S18" s="39">
        <v>6</v>
      </c>
    </row>
    <row r="19" spans="1:19" x14ac:dyDescent="0.25">
      <c r="A19" s="7" t="str">
        <f t="shared" si="0"/>
        <v>GABRIEL  LAZARETI CARDOSO</v>
      </c>
      <c r="B19" s="1" t="s">
        <v>46</v>
      </c>
      <c r="C19" s="1" t="s">
        <v>54</v>
      </c>
      <c r="D19" s="1"/>
      <c r="E19" s="1" t="s">
        <v>55</v>
      </c>
      <c r="G19" s="14"/>
      <c r="H19" s="5">
        <v>8</v>
      </c>
      <c r="I19" s="35">
        <v>10</v>
      </c>
      <c r="J19" s="12"/>
      <c r="K19" s="4">
        <v>8</v>
      </c>
      <c r="L19" s="35">
        <v>10</v>
      </c>
      <c r="M19" s="12"/>
      <c r="N19" s="4">
        <v>8</v>
      </c>
      <c r="O19" s="35">
        <v>10</v>
      </c>
      <c r="P19" s="17"/>
      <c r="Q19" s="35">
        <f t="shared" si="1"/>
        <v>0</v>
      </c>
      <c r="R19" s="39">
        <f t="shared" si="2"/>
        <v>8</v>
      </c>
      <c r="S19" s="39"/>
    </row>
    <row r="20" spans="1:19" x14ac:dyDescent="0.25">
      <c r="A20" s="18" t="str">
        <f t="shared" si="0"/>
        <v>GABRIEL  TORTOLIO FONSECA</v>
      </c>
      <c r="B20" s="19" t="s">
        <v>46</v>
      </c>
      <c r="C20" s="19" t="s">
        <v>109</v>
      </c>
      <c r="D20" s="19"/>
      <c r="E20" s="19" t="s">
        <v>110</v>
      </c>
      <c r="F20" s="20"/>
      <c r="G20" s="21"/>
      <c r="H20" s="22">
        <v>1</v>
      </c>
      <c r="I20" s="34">
        <v>10</v>
      </c>
      <c r="J20" s="23"/>
      <c r="K20" s="20">
        <v>1</v>
      </c>
      <c r="L20" s="34">
        <v>10</v>
      </c>
      <c r="M20" s="24"/>
      <c r="N20" s="20">
        <v>1</v>
      </c>
      <c r="O20" s="34">
        <v>9</v>
      </c>
      <c r="P20" s="25"/>
      <c r="Q20" s="34">
        <f t="shared" si="1"/>
        <v>0</v>
      </c>
      <c r="R20" s="40">
        <f t="shared" si="2"/>
        <v>7</v>
      </c>
      <c r="S20" s="40">
        <v>6</v>
      </c>
    </row>
    <row r="21" spans="1:19" x14ac:dyDescent="0.25">
      <c r="A21" s="7" t="str">
        <f t="shared" si="0"/>
        <v>GIOVANA  SIMOES FRANCO</v>
      </c>
      <c r="B21" s="1" t="s">
        <v>101</v>
      </c>
      <c r="C21" s="1" t="s">
        <v>102</v>
      </c>
      <c r="D21" s="9"/>
      <c r="E21" s="1" t="s">
        <v>103</v>
      </c>
      <c r="F21" s="10">
        <v>3</v>
      </c>
      <c r="G21" s="1" t="s">
        <v>136</v>
      </c>
      <c r="H21" s="11">
        <v>3</v>
      </c>
      <c r="I21" s="35">
        <v>4</v>
      </c>
      <c r="J21" s="12"/>
      <c r="K21" s="10">
        <v>3</v>
      </c>
      <c r="L21" s="35">
        <v>10</v>
      </c>
      <c r="M21" s="12"/>
      <c r="N21" s="10">
        <v>3</v>
      </c>
      <c r="O21" s="35">
        <v>10</v>
      </c>
      <c r="P21" s="13"/>
      <c r="Q21" s="35">
        <f t="shared" si="1"/>
        <v>5</v>
      </c>
      <c r="R21" s="39">
        <f t="shared" si="2"/>
        <v>7</v>
      </c>
      <c r="S21" s="39"/>
    </row>
    <row r="22" spans="1:19" x14ac:dyDescent="0.25">
      <c r="A22" s="7" t="str">
        <f t="shared" si="0"/>
        <v>GUILHERME  FERREIRA MARTINS RAMOS</v>
      </c>
      <c r="B22" s="1" t="s">
        <v>34</v>
      </c>
      <c r="C22" s="1" t="s">
        <v>35</v>
      </c>
      <c r="D22" s="9"/>
      <c r="E22" s="1" t="s">
        <v>36</v>
      </c>
      <c r="F22" s="4">
        <v>4</v>
      </c>
      <c r="G22" s="14" t="s">
        <v>137</v>
      </c>
      <c r="H22" s="5">
        <v>6</v>
      </c>
      <c r="I22" s="35">
        <v>10</v>
      </c>
      <c r="K22" s="4">
        <v>6</v>
      </c>
      <c r="L22" s="35">
        <v>10</v>
      </c>
      <c r="M22" s="15"/>
      <c r="O22" s="35"/>
      <c r="P22" s="7"/>
      <c r="Q22" s="35">
        <f t="shared" si="1"/>
        <v>10</v>
      </c>
      <c r="R22" s="39">
        <f t="shared" si="2"/>
        <v>10</v>
      </c>
      <c r="S22" s="39">
        <v>8</v>
      </c>
    </row>
    <row r="23" spans="1:19" x14ac:dyDescent="0.25">
      <c r="A23" s="7" t="str">
        <f t="shared" si="0"/>
        <v>GUSTAVO  KENZO NAKAZATO SLEIMAN</v>
      </c>
      <c r="B23" s="1" t="s">
        <v>49</v>
      </c>
      <c r="C23" s="1" t="s">
        <v>50</v>
      </c>
      <c r="D23" s="1"/>
      <c r="E23" s="1" t="s">
        <v>51</v>
      </c>
      <c r="J23" s="16"/>
      <c r="M23" s="12"/>
      <c r="O23" s="35"/>
      <c r="P23" s="7"/>
      <c r="Q23" s="35">
        <f t="shared" si="1"/>
        <v>0</v>
      </c>
      <c r="R23" s="39">
        <f t="shared" si="2"/>
        <v>0</v>
      </c>
      <c r="S23" s="39"/>
    </row>
    <row r="24" spans="1:19" x14ac:dyDescent="0.25">
      <c r="A24" s="7" t="str">
        <f t="shared" si="0"/>
        <v>HENRIQUE  YUJI ISOGAI YONEOKA</v>
      </c>
      <c r="B24" s="1" t="s">
        <v>116</v>
      </c>
      <c r="C24" s="1" t="s">
        <v>117</v>
      </c>
      <c r="D24" s="1"/>
      <c r="E24" s="1" t="s">
        <v>118</v>
      </c>
      <c r="F24" s="4">
        <v>1</v>
      </c>
      <c r="G24" s="14" t="s">
        <v>138</v>
      </c>
      <c r="H24" s="5">
        <v>7</v>
      </c>
      <c r="I24" s="35">
        <v>10</v>
      </c>
      <c r="J24" s="12"/>
      <c r="K24" s="4">
        <v>7</v>
      </c>
      <c r="L24" s="35">
        <v>9</v>
      </c>
      <c r="M24" s="12"/>
      <c r="N24" s="4">
        <v>7</v>
      </c>
      <c r="O24" s="35">
        <v>9</v>
      </c>
      <c r="P24" s="17"/>
      <c r="Q24" s="35">
        <f t="shared" si="1"/>
        <v>0</v>
      </c>
      <c r="R24" s="39">
        <f t="shared" si="2"/>
        <v>7</v>
      </c>
      <c r="S24" s="39">
        <v>6.5</v>
      </c>
    </row>
    <row r="25" spans="1:19" x14ac:dyDescent="0.25">
      <c r="A25" s="18" t="str">
        <f t="shared" si="0"/>
        <v>ISMAEL  DE SOUSA SILVA</v>
      </c>
      <c r="B25" s="19" t="s">
        <v>28</v>
      </c>
      <c r="C25" s="19" t="s">
        <v>29</v>
      </c>
      <c r="D25" s="19"/>
      <c r="E25" s="19" t="s">
        <v>30</v>
      </c>
      <c r="F25" s="20">
        <v>2</v>
      </c>
      <c r="G25" s="21" t="s">
        <v>139</v>
      </c>
      <c r="H25" s="22">
        <v>4</v>
      </c>
      <c r="I25" s="34">
        <v>2</v>
      </c>
      <c r="J25" s="23"/>
      <c r="K25" s="20">
        <v>4</v>
      </c>
      <c r="L25" s="34">
        <v>6</v>
      </c>
      <c r="M25" s="24"/>
      <c r="N25" s="20">
        <v>4</v>
      </c>
      <c r="O25" s="34">
        <v>10</v>
      </c>
      <c r="P25" s="25"/>
      <c r="Q25" s="34">
        <f t="shared" si="1"/>
        <v>0</v>
      </c>
      <c r="R25" s="40">
        <f t="shared" si="2"/>
        <v>5</v>
      </c>
      <c r="S25" s="40">
        <v>3</v>
      </c>
    </row>
    <row r="26" spans="1:19" x14ac:dyDescent="0.25">
      <c r="A26" s="7" t="str">
        <f t="shared" si="0"/>
        <v>JESSICA  DOS SANTOS SANTANA BISPO</v>
      </c>
      <c r="B26" s="1" t="s">
        <v>31</v>
      </c>
      <c r="C26" s="1" t="s">
        <v>32</v>
      </c>
      <c r="D26" s="9"/>
      <c r="E26" s="1" t="s">
        <v>33</v>
      </c>
      <c r="F26" s="10">
        <v>5</v>
      </c>
      <c r="G26" s="1" t="s">
        <v>140</v>
      </c>
      <c r="H26" s="11">
        <v>9</v>
      </c>
      <c r="I26" s="35">
        <v>10</v>
      </c>
      <c r="J26" s="12"/>
      <c r="K26" s="10">
        <v>9</v>
      </c>
      <c r="L26" s="35">
        <v>10</v>
      </c>
      <c r="M26" s="12"/>
      <c r="N26" s="10">
        <v>9</v>
      </c>
      <c r="O26" s="35">
        <v>10</v>
      </c>
      <c r="P26" s="13"/>
      <c r="Q26" s="35">
        <f t="shared" si="1"/>
        <v>10</v>
      </c>
      <c r="R26" s="39">
        <f t="shared" si="2"/>
        <v>10</v>
      </c>
      <c r="S26" s="39">
        <v>5</v>
      </c>
    </row>
    <row r="27" spans="1:19" x14ac:dyDescent="0.25">
      <c r="A27" s="7" t="str">
        <f t="shared" si="0"/>
        <v>JOAO  ROCHA MURGEL</v>
      </c>
      <c r="B27" s="1" t="s">
        <v>92</v>
      </c>
      <c r="C27" s="1" t="s">
        <v>93</v>
      </c>
      <c r="D27" s="9"/>
      <c r="E27" s="1" t="s">
        <v>94</v>
      </c>
      <c r="G27" s="14"/>
      <c r="H27" s="5">
        <v>8</v>
      </c>
      <c r="I27" s="35">
        <v>10</v>
      </c>
      <c r="K27" s="4">
        <v>8</v>
      </c>
      <c r="L27" s="35">
        <v>10</v>
      </c>
      <c r="M27" s="15"/>
      <c r="N27" s="4">
        <v>8</v>
      </c>
      <c r="O27" s="35">
        <v>10</v>
      </c>
      <c r="P27" s="7"/>
      <c r="Q27" s="35">
        <f t="shared" si="1"/>
        <v>0</v>
      </c>
      <c r="R27" s="39">
        <f t="shared" si="2"/>
        <v>8</v>
      </c>
      <c r="S27" s="39">
        <v>6</v>
      </c>
    </row>
    <row r="28" spans="1:19" x14ac:dyDescent="0.25">
      <c r="A28" s="7" t="str">
        <f t="shared" si="0"/>
        <v>JOAO  VICTOR MARTINS</v>
      </c>
      <c r="B28" s="1" t="s">
        <v>92</v>
      </c>
      <c r="C28" s="1" t="s">
        <v>111</v>
      </c>
      <c r="D28" s="1"/>
      <c r="E28" s="1" t="s">
        <v>112</v>
      </c>
      <c r="H28" s="5">
        <v>7</v>
      </c>
      <c r="I28" s="35">
        <v>10</v>
      </c>
      <c r="J28" s="16"/>
      <c r="K28" s="4">
        <v>7</v>
      </c>
      <c r="L28" s="35">
        <v>9</v>
      </c>
      <c r="M28" s="12"/>
      <c r="N28" s="4">
        <v>7</v>
      </c>
      <c r="O28" s="35">
        <v>9</v>
      </c>
      <c r="P28" s="7"/>
      <c r="Q28" s="35">
        <f t="shared" si="1"/>
        <v>0</v>
      </c>
      <c r="R28" s="39">
        <f t="shared" si="2"/>
        <v>7</v>
      </c>
      <c r="S28" s="39">
        <v>5</v>
      </c>
    </row>
    <row r="29" spans="1:19" x14ac:dyDescent="0.25">
      <c r="A29" s="7" t="str">
        <f t="shared" si="0"/>
        <v>JULIA  SANTOS OLIVEIRA</v>
      </c>
      <c r="B29" s="1" t="s">
        <v>95</v>
      </c>
      <c r="C29" s="1" t="s">
        <v>96</v>
      </c>
      <c r="D29" s="1"/>
      <c r="E29" s="1" t="s">
        <v>97</v>
      </c>
      <c r="F29" s="4">
        <v>5</v>
      </c>
      <c r="G29" s="14" t="s">
        <v>147</v>
      </c>
      <c r="H29" s="5">
        <v>3</v>
      </c>
      <c r="I29" s="35">
        <v>4</v>
      </c>
      <c r="J29" s="12"/>
      <c r="K29" s="4">
        <v>3</v>
      </c>
      <c r="L29" s="35">
        <v>10</v>
      </c>
      <c r="M29" s="12"/>
      <c r="N29" s="4">
        <v>3</v>
      </c>
      <c r="O29" s="35">
        <v>10</v>
      </c>
      <c r="P29" s="17"/>
      <c r="Q29" s="35">
        <f t="shared" si="1"/>
        <v>10</v>
      </c>
      <c r="R29" s="39">
        <f t="shared" si="2"/>
        <v>9</v>
      </c>
      <c r="S29" s="39">
        <v>9</v>
      </c>
    </row>
    <row r="30" spans="1:19" x14ac:dyDescent="0.25">
      <c r="A30" s="18" t="str">
        <f t="shared" si="0"/>
        <v>LARISSA  YURI SATO</v>
      </c>
      <c r="B30" s="19" t="s">
        <v>119</v>
      </c>
      <c r="C30" s="19" t="s">
        <v>120</v>
      </c>
      <c r="D30" s="19"/>
      <c r="E30" s="19" t="s">
        <v>121</v>
      </c>
      <c r="F30" s="20">
        <v>5</v>
      </c>
      <c r="G30" s="21" t="s">
        <v>141</v>
      </c>
      <c r="H30" s="22">
        <v>3</v>
      </c>
      <c r="I30" s="34">
        <v>4</v>
      </c>
      <c r="J30" s="23"/>
      <c r="K30" s="20">
        <v>3</v>
      </c>
      <c r="L30" s="34">
        <v>10</v>
      </c>
      <c r="M30" s="24"/>
      <c r="N30" s="20">
        <v>3</v>
      </c>
      <c r="O30" s="34">
        <v>10</v>
      </c>
      <c r="P30" s="25"/>
      <c r="Q30" s="34">
        <f t="shared" si="1"/>
        <v>10</v>
      </c>
      <c r="R30" s="40">
        <f t="shared" si="2"/>
        <v>9</v>
      </c>
      <c r="S30" s="40">
        <v>8</v>
      </c>
    </row>
    <row r="31" spans="1:19" x14ac:dyDescent="0.25">
      <c r="A31" s="7" t="str">
        <f t="shared" si="0"/>
        <v>LEONARDO  PATRIANI CARDOSO</v>
      </c>
      <c r="B31" s="1" t="s">
        <v>80</v>
      </c>
      <c r="C31" s="1" t="s">
        <v>81</v>
      </c>
      <c r="D31" s="9"/>
      <c r="E31" s="1" t="s">
        <v>82</v>
      </c>
      <c r="F31" s="10"/>
      <c r="G31" s="1"/>
      <c r="H31" s="11">
        <v>7</v>
      </c>
      <c r="I31" s="35">
        <v>10</v>
      </c>
      <c r="J31" s="12"/>
      <c r="K31" s="10">
        <v>7</v>
      </c>
      <c r="L31" s="35">
        <v>9</v>
      </c>
      <c r="M31" s="12"/>
      <c r="N31" s="10">
        <v>7</v>
      </c>
      <c r="O31" s="35">
        <v>9</v>
      </c>
      <c r="P31" s="13"/>
      <c r="Q31" s="35">
        <f t="shared" si="1"/>
        <v>0</v>
      </c>
      <c r="R31" s="39">
        <f t="shared" si="2"/>
        <v>7</v>
      </c>
      <c r="S31" s="39">
        <v>10</v>
      </c>
    </row>
    <row r="32" spans="1:19" x14ac:dyDescent="0.25">
      <c r="A32" s="7" t="str">
        <f t="shared" si="0"/>
        <v>LIVIA  CANTOWITZ</v>
      </c>
      <c r="B32" s="1" t="s">
        <v>25</v>
      </c>
      <c r="C32" s="1" t="s">
        <v>26</v>
      </c>
      <c r="D32" s="9"/>
      <c r="E32" s="1" t="s">
        <v>27</v>
      </c>
      <c r="G32" s="14"/>
      <c r="M32" s="15"/>
      <c r="O32" s="35"/>
      <c r="P32" s="7"/>
      <c r="Q32" s="35">
        <f t="shared" si="1"/>
        <v>0</v>
      </c>
      <c r="R32" s="39">
        <f t="shared" si="2"/>
        <v>0</v>
      </c>
      <c r="S32" s="39">
        <v>5</v>
      </c>
    </row>
    <row r="33" spans="1:19" x14ac:dyDescent="0.25">
      <c r="A33" s="7" t="str">
        <f t="shared" si="0"/>
        <v>LUCAS  PIRES DE CAMARGO SARAI</v>
      </c>
      <c r="B33" s="1" t="s">
        <v>89</v>
      </c>
      <c r="C33" s="1" t="s">
        <v>90</v>
      </c>
      <c r="D33" s="1"/>
      <c r="E33" s="1" t="s">
        <v>91</v>
      </c>
      <c r="F33" s="4">
        <v>5</v>
      </c>
      <c r="G33" t="s">
        <v>142</v>
      </c>
      <c r="H33" s="5">
        <v>9</v>
      </c>
      <c r="I33" s="35">
        <v>10</v>
      </c>
      <c r="J33" s="16"/>
      <c r="K33" s="4">
        <v>9</v>
      </c>
      <c r="L33" s="35">
        <v>10</v>
      </c>
      <c r="M33" s="12"/>
      <c r="N33" s="4">
        <v>9</v>
      </c>
      <c r="O33" s="35">
        <v>10</v>
      </c>
      <c r="P33" s="7"/>
      <c r="Q33" s="35">
        <f t="shared" si="1"/>
        <v>10</v>
      </c>
      <c r="R33" s="39">
        <f t="shared" si="2"/>
        <v>10</v>
      </c>
      <c r="S33" s="39">
        <v>10</v>
      </c>
    </row>
    <row r="34" spans="1:19" x14ac:dyDescent="0.25">
      <c r="A34" s="7" t="str">
        <f t="shared" si="0"/>
        <v>MARCO  ANTONIO DE CAMARGO</v>
      </c>
      <c r="B34" s="1" t="s">
        <v>13</v>
      </c>
      <c r="C34" s="1" t="s">
        <v>14</v>
      </c>
      <c r="D34" s="1"/>
      <c r="E34" s="1" t="s">
        <v>15</v>
      </c>
      <c r="F34" s="4">
        <v>5</v>
      </c>
      <c r="G34" s="14" t="s">
        <v>143</v>
      </c>
      <c r="H34" s="5">
        <v>1</v>
      </c>
      <c r="I34" s="35">
        <v>10</v>
      </c>
      <c r="J34" s="12"/>
      <c r="K34" s="4">
        <v>1</v>
      </c>
      <c r="L34" s="35">
        <v>10</v>
      </c>
      <c r="M34" s="12"/>
      <c r="N34" s="4">
        <v>1</v>
      </c>
      <c r="O34" s="35">
        <v>9</v>
      </c>
      <c r="P34" s="17"/>
      <c r="Q34" s="35">
        <f t="shared" si="1"/>
        <v>10</v>
      </c>
      <c r="R34" s="39">
        <f t="shared" si="2"/>
        <v>10</v>
      </c>
      <c r="S34" s="39">
        <v>8</v>
      </c>
    </row>
    <row r="35" spans="1:19" x14ac:dyDescent="0.25">
      <c r="A35" s="18" t="str">
        <f t="shared" si="0"/>
        <v>MARINA  BARROCA</v>
      </c>
      <c r="B35" s="19" t="s">
        <v>19</v>
      </c>
      <c r="C35" s="19" t="s">
        <v>20</v>
      </c>
      <c r="D35" s="19"/>
      <c r="E35" s="19" t="s">
        <v>21</v>
      </c>
      <c r="F35" s="20">
        <v>5</v>
      </c>
      <c r="G35" s="21" t="s">
        <v>148</v>
      </c>
      <c r="H35" s="22">
        <v>10</v>
      </c>
      <c r="I35" s="34">
        <v>8</v>
      </c>
      <c r="J35" s="23" t="s">
        <v>164</v>
      </c>
      <c r="K35" s="20">
        <v>10</v>
      </c>
      <c r="L35" s="34">
        <v>10</v>
      </c>
      <c r="M35" s="24"/>
      <c r="N35" s="20">
        <v>10</v>
      </c>
      <c r="O35" s="34">
        <v>10</v>
      </c>
      <c r="P35" s="25" t="s">
        <v>180</v>
      </c>
      <c r="Q35" s="34">
        <f t="shared" si="1"/>
        <v>10</v>
      </c>
      <c r="R35" s="40">
        <f t="shared" si="2"/>
        <v>10</v>
      </c>
      <c r="S35" s="40">
        <v>6</v>
      </c>
    </row>
    <row r="36" spans="1:19" x14ac:dyDescent="0.25">
      <c r="A36" s="7" t="str">
        <f t="shared" si="0"/>
        <v>MATHEUS  HENRIQUE DE OLIVEIRA SANTOS</v>
      </c>
      <c r="B36" s="1" t="s">
        <v>37</v>
      </c>
      <c r="C36" s="1" t="s">
        <v>38</v>
      </c>
      <c r="D36" s="9"/>
      <c r="E36" s="1" t="s">
        <v>39</v>
      </c>
      <c r="F36" s="10"/>
      <c r="G36" s="1"/>
      <c r="H36" s="11">
        <v>10</v>
      </c>
      <c r="I36" s="35">
        <v>8</v>
      </c>
      <c r="J36" s="12"/>
      <c r="K36" s="10">
        <v>10</v>
      </c>
      <c r="L36" s="35">
        <v>10</v>
      </c>
      <c r="M36" s="12"/>
      <c r="N36" s="10">
        <v>10</v>
      </c>
      <c r="O36" s="35">
        <v>10</v>
      </c>
      <c r="P36" s="13"/>
      <c r="Q36" s="35">
        <f t="shared" si="1"/>
        <v>0</v>
      </c>
      <c r="R36" s="39">
        <f t="shared" si="2"/>
        <v>7</v>
      </c>
      <c r="S36" s="39"/>
    </row>
    <row r="37" spans="1:19" x14ac:dyDescent="0.25">
      <c r="A37" s="7" t="str">
        <f t="shared" si="0"/>
        <v>NATAN  MOREIRA PASSOS</v>
      </c>
      <c r="B37" s="1" t="s">
        <v>74</v>
      </c>
      <c r="C37" s="1" t="s">
        <v>75</v>
      </c>
      <c r="D37" s="9"/>
      <c r="E37" s="1" t="s">
        <v>76</v>
      </c>
      <c r="G37" s="14"/>
      <c r="H37" s="5">
        <v>1</v>
      </c>
      <c r="I37" s="35">
        <v>10</v>
      </c>
      <c r="K37" s="4">
        <v>1</v>
      </c>
      <c r="L37" s="35">
        <v>10</v>
      </c>
      <c r="M37" s="15"/>
      <c r="N37" s="4">
        <v>1</v>
      </c>
      <c r="O37" s="35">
        <v>9</v>
      </c>
      <c r="P37" s="7"/>
      <c r="Q37" s="35">
        <f t="shared" si="1"/>
        <v>0</v>
      </c>
      <c r="R37" s="39">
        <f t="shared" si="2"/>
        <v>7</v>
      </c>
      <c r="S37" s="39">
        <v>5</v>
      </c>
    </row>
    <row r="38" spans="1:19" x14ac:dyDescent="0.25">
      <c r="A38" s="7" t="str">
        <f t="shared" si="0"/>
        <v>NICOLAS  HENRIQUES DE ALMEIDA</v>
      </c>
      <c r="B38" s="1" t="s">
        <v>40</v>
      </c>
      <c r="C38" s="1" t="s">
        <v>41</v>
      </c>
      <c r="D38" s="1"/>
      <c r="E38" s="1" t="s">
        <v>42</v>
      </c>
      <c r="F38" s="4">
        <v>1</v>
      </c>
      <c r="G38" t="s">
        <v>144</v>
      </c>
      <c r="H38" s="5">
        <v>1</v>
      </c>
      <c r="I38" s="35">
        <v>10</v>
      </c>
      <c r="J38" s="16"/>
      <c r="K38" s="4">
        <v>1</v>
      </c>
      <c r="L38" s="35">
        <v>10</v>
      </c>
      <c r="M38" s="12"/>
      <c r="N38" s="4">
        <v>1</v>
      </c>
      <c r="O38" s="35">
        <v>9</v>
      </c>
      <c r="P38" s="7"/>
      <c r="Q38" s="35">
        <f t="shared" si="1"/>
        <v>0</v>
      </c>
      <c r="R38" s="39">
        <f t="shared" si="2"/>
        <v>7</v>
      </c>
      <c r="S38" s="39"/>
    </row>
    <row r="39" spans="1:19" x14ac:dyDescent="0.25">
      <c r="A39" s="7" t="str">
        <f t="shared" si="0"/>
        <v>OTAVIO  AUGUSTO FREIRE DE ANDRADE BRUZADI</v>
      </c>
      <c r="B39" s="1" t="s">
        <v>16</v>
      </c>
      <c r="C39" s="1" t="s">
        <v>17</v>
      </c>
      <c r="D39" s="1"/>
      <c r="E39" s="1" t="s">
        <v>18</v>
      </c>
      <c r="F39" s="4">
        <v>4</v>
      </c>
      <c r="G39" s="14" t="s">
        <v>149</v>
      </c>
      <c r="H39" s="5">
        <v>9</v>
      </c>
      <c r="I39" s="35">
        <v>10</v>
      </c>
      <c r="J39" s="12"/>
      <c r="K39" s="4">
        <v>9</v>
      </c>
      <c r="L39" s="35">
        <v>10</v>
      </c>
      <c r="M39" s="12"/>
      <c r="N39" s="4">
        <v>9</v>
      </c>
      <c r="O39" s="35">
        <v>10</v>
      </c>
      <c r="P39" s="17"/>
      <c r="Q39" s="35">
        <f t="shared" si="1"/>
        <v>10</v>
      </c>
      <c r="R39" s="39">
        <f t="shared" si="2"/>
        <v>10</v>
      </c>
      <c r="S39" s="39">
        <v>8.5</v>
      </c>
    </row>
    <row r="40" spans="1:19" x14ac:dyDescent="0.25">
      <c r="A40" s="18" t="str">
        <f t="shared" si="0"/>
        <v>THOMAS  PINHEIRO GRANDIN</v>
      </c>
      <c r="B40" s="19" t="s">
        <v>86</v>
      </c>
      <c r="C40" s="19" t="s">
        <v>87</v>
      </c>
      <c r="D40" s="19"/>
      <c r="E40" s="19" t="s">
        <v>88</v>
      </c>
      <c r="F40" s="20"/>
      <c r="G40" s="21"/>
      <c r="H40" s="22">
        <v>1</v>
      </c>
      <c r="I40" s="34">
        <v>10</v>
      </c>
      <c r="J40" s="23"/>
      <c r="K40" s="20">
        <v>1</v>
      </c>
      <c r="L40" s="34">
        <v>10</v>
      </c>
      <c r="M40" s="24"/>
      <c r="N40" s="20">
        <v>1</v>
      </c>
      <c r="O40" s="34">
        <v>9</v>
      </c>
      <c r="P40" s="25"/>
      <c r="Q40" s="34">
        <f t="shared" si="1"/>
        <v>0</v>
      </c>
      <c r="R40" s="40">
        <f t="shared" si="2"/>
        <v>7</v>
      </c>
      <c r="S40" s="40"/>
    </row>
    <row r="41" spans="1:19" x14ac:dyDescent="0.25">
      <c r="A41" s="7" t="str">
        <f t="shared" si="0"/>
        <v>TIAGO  SILVEIRA LOPES</v>
      </c>
      <c r="B41" s="1" t="s">
        <v>98</v>
      </c>
      <c r="C41" s="1" t="s">
        <v>99</v>
      </c>
      <c r="D41" s="1"/>
      <c r="E41" s="1" t="s">
        <v>100</v>
      </c>
      <c r="F41" s="4">
        <v>0</v>
      </c>
      <c r="G41" s="2" t="s">
        <v>145</v>
      </c>
      <c r="H41" s="5">
        <v>6</v>
      </c>
      <c r="I41" s="35">
        <v>10</v>
      </c>
      <c r="K41" s="4">
        <v>6</v>
      </c>
      <c r="L41" s="35">
        <v>10</v>
      </c>
      <c r="Q41" s="35">
        <f t="shared" si="1"/>
        <v>0</v>
      </c>
      <c r="R41" s="39">
        <f t="shared" si="2"/>
        <v>7</v>
      </c>
      <c r="S41" s="39">
        <v>9</v>
      </c>
    </row>
    <row r="42" spans="1:19" x14ac:dyDescent="0.25">
      <c r="A42" s="18" t="str">
        <f t="shared" si="0"/>
        <v>VITOR  ALVES PEREIRA</v>
      </c>
      <c r="B42" s="19" t="s">
        <v>6</v>
      </c>
      <c r="C42" s="19" t="s">
        <v>7</v>
      </c>
      <c r="D42" s="19"/>
      <c r="E42" s="19" t="s">
        <v>9</v>
      </c>
      <c r="F42" s="20">
        <v>5</v>
      </c>
      <c r="G42" s="32" t="s">
        <v>146</v>
      </c>
      <c r="H42" s="22">
        <v>4</v>
      </c>
      <c r="I42" s="34">
        <v>2</v>
      </c>
      <c r="J42" s="24"/>
      <c r="K42" s="20">
        <v>4</v>
      </c>
      <c r="L42" s="34">
        <v>6</v>
      </c>
      <c r="M42" s="24"/>
      <c r="N42" s="20">
        <v>4</v>
      </c>
      <c r="O42" s="34">
        <v>10</v>
      </c>
      <c r="P42" s="33"/>
      <c r="Q42" s="34">
        <f t="shared" si="1"/>
        <v>10</v>
      </c>
      <c r="R42" s="40">
        <f t="shared" si="2"/>
        <v>7</v>
      </c>
      <c r="S42" s="40">
        <v>3</v>
      </c>
    </row>
    <row r="43" spans="1:19" x14ac:dyDescent="0.25">
      <c r="I43" s="35">
        <f>AVERAGE(I2:I42)</f>
        <v>8.0540540540540544</v>
      </c>
      <c r="J43" s="6"/>
      <c r="L43" s="35">
        <f t="shared" ref="L43:S43" si="3">AVERAGE(L2:L42)</f>
        <v>9.2368421052631575</v>
      </c>
      <c r="M43" s="6"/>
      <c r="O43" s="35">
        <f t="shared" si="3"/>
        <v>9.6451612903225801</v>
      </c>
      <c r="P43" s="6"/>
      <c r="Q43" s="35">
        <f t="shared" si="3"/>
        <v>5.7317073170731705</v>
      </c>
      <c r="R43" s="39">
        <f t="shared" si="3"/>
        <v>7.7560975609756095</v>
      </c>
      <c r="S43" s="39">
        <f t="shared" si="3"/>
        <v>6.274193548387097</v>
      </c>
    </row>
  </sheetData>
  <hyperlinks>
    <hyperlink ref="G6" r:id="rId1" xr:uid="{F77CD162-3AE3-4846-A395-1915142EEFB9}"/>
    <hyperlink ref="G26" r:id="rId2" xr:uid="{74DDEC77-2E01-419A-9ACA-53777278D7C3}"/>
    <hyperlink ref="G41" r:id="rId3" xr:uid="{7D7AAE97-AE96-4EF6-9D58-E14C4363A8EB}"/>
    <hyperlink ref="G42" r:id="rId4" xr:uid="{D805AD13-1429-43BF-982F-F9E715D640C0}"/>
    <hyperlink ref="G2" r:id="rId5" xr:uid="{C441E7AA-D413-4D16-B4B4-845E18881517}"/>
    <hyperlink ref="G4" r:id="rId6" xr:uid="{1DF339C5-A98F-48F9-A74B-2F0041C3FD5F}"/>
    <hyperlink ref="G5" r:id="rId7" xr:uid="{06DDF801-E692-4168-A5CC-A6B2BB66EF44}"/>
    <hyperlink ref="G7" r:id="rId8" xr:uid="{865C8BD3-8BED-4213-8489-9E46F83C1FFB}"/>
    <hyperlink ref="G8" r:id="rId9" xr:uid="{E4EE7394-AA9D-4F17-9D5A-9797CFA9FA24}"/>
    <hyperlink ref="G9" r:id="rId10" xr:uid="{7F080A02-DE9F-439B-A1AA-3D160CE76862}"/>
    <hyperlink ref="G11" r:id="rId11" xr:uid="{59976AE4-22EC-4106-BEC4-554566D13722}"/>
    <hyperlink ref="G12" r:id="rId12" xr:uid="{81EB8AB9-B9AD-45CB-919F-3396F598C196}"/>
    <hyperlink ref="G13" r:id="rId13" xr:uid="{3BB697A0-44B5-4385-AC31-CCDC54712B66}"/>
    <hyperlink ref="G14" r:id="rId14" xr:uid="{345A645F-7C43-4A4F-BF87-4E0AED996BD6}"/>
    <hyperlink ref="G15" r:id="rId15" xr:uid="{C24AB5A2-30AA-42ED-ACE9-0F698C7A6C56}"/>
    <hyperlink ref="G16" r:id="rId16" xr:uid="{C70D4B1E-58D4-44D1-84A0-03E568748B02}"/>
    <hyperlink ref="G17" r:id="rId17" xr:uid="{FF9DE5F8-A591-4100-907F-FA11530AA9E3}"/>
    <hyperlink ref="G18" r:id="rId18" xr:uid="{A8F3F0EA-3E2F-46CF-A327-DF5C8E8EACBE}"/>
    <hyperlink ref="G21" r:id="rId19" xr:uid="{3DFA1B20-FC29-457F-A830-A2E9B72B7564}"/>
    <hyperlink ref="G22" r:id="rId20" xr:uid="{B27EDCED-E972-4E74-993D-F5E2151A2DC5}"/>
    <hyperlink ref="G24" r:id="rId21" xr:uid="{BA91A4AD-FF07-423F-85D0-099B62CAEEE1}"/>
    <hyperlink ref="G25" r:id="rId22" xr:uid="{07F3AF1E-8C8E-41D6-B36B-564B13C59A0B}"/>
    <hyperlink ref="G29" r:id="rId23" xr:uid="{85C51257-459B-46F9-9C01-5BB1607608A3}"/>
    <hyperlink ref="G30" r:id="rId24" xr:uid="{A6D54F37-2E80-43BE-ACAA-FBDDA470496E}"/>
    <hyperlink ref="G33" r:id="rId25" xr:uid="{0DCFA524-4C34-4CFA-931E-655CF9D2FC1A}"/>
    <hyperlink ref="G34" r:id="rId26" xr:uid="{9399F765-B21C-4F91-88E2-A23EA680FCA3}"/>
    <hyperlink ref="G35" r:id="rId27" xr:uid="{ABC4F884-9833-4175-A269-D6D648A076D6}"/>
    <hyperlink ref="G38" r:id="rId28" xr:uid="{1630A4D4-B0E0-447F-A318-1A8376692065}"/>
    <hyperlink ref="G39" r:id="rId29" xr:uid="{838EA479-FEC1-4333-81DE-70A7826495C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B32EA-1F52-46D5-9E73-D7BC92A42345}">
  <dimension ref="A1:X44"/>
  <sheetViews>
    <sheetView workbookViewId="0">
      <selection activeCell="J21" sqref="J21"/>
    </sheetView>
  </sheetViews>
  <sheetFormatPr defaultRowHeight="15" x14ac:dyDescent="0.25"/>
  <cols>
    <col min="1" max="1" width="44.85546875" bestFit="1" customWidth="1"/>
    <col min="2" max="2" width="15.5703125" hidden="1" customWidth="1"/>
    <col min="3" max="5" width="9.140625" hidden="1" customWidth="1"/>
    <col min="6" max="6" width="5.5703125" style="4" hidden="1" customWidth="1"/>
    <col min="7" max="7" width="9.140625" hidden="1" customWidth="1"/>
    <col min="8" max="8" width="4.85546875" style="47" customWidth="1"/>
    <col min="9" max="9" width="10.28515625" style="43" customWidth="1"/>
    <col min="10" max="10" width="10.28515625" style="67" customWidth="1"/>
    <col min="11" max="11" width="10.140625" style="53" customWidth="1"/>
    <col min="12" max="12" width="10.140625" style="5" hidden="1" customWidth="1"/>
    <col min="13" max="14" width="10.140625" style="56" customWidth="1"/>
    <col min="15" max="15" width="1.42578125" style="58" hidden="1" customWidth="1"/>
    <col min="16" max="16" width="31.7109375" style="57" bestFit="1" customWidth="1"/>
    <col min="17" max="19" width="8" style="47" customWidth="1"/>
    <col min="20" max="20" width="9.140625" style="51"/>
    <col min="21" max="21" width="7.85546875" style="5" customWidth="1"/>
    <col min="22" max="22" width="13.42578125" style="5" customWidth="1"/>
    <col min="23" max="23" width="5.85546875" style="5" customWidth="1"/>
  </cols>
  <sheetData>
    <row r="1" spans="1:24" x14ac:dyDescent="0.25">
      <c r="A1" s="26" t="s">
        <v>151</v>
      </c>
      <c r="B1" s="27" t="s">
        <v>0</v>
      </c>
      <c r="C1" s="27" t="s">
        <v>1</v>
      </c>
      <c r="D1" s="27" t="s">
        <v>151</v>
      </c>
      <c r="E1" s="27" t="s">
        <v>2</v>
      </c>
      <c r="F1" s="28" t="s">
        <v>153</v>
      </c>
      <c r="G1" s="27" t="s">
        <v>154</v>
      </c>
      <c r="H1" s="46" t="s">
        <v>155</v>
      </c>
      <c r="I1" s="44" t="s">
        <v>213</v>
      </c>
      <c r="J1" s="66" t="s">
        <v>213</v>
      </c>
      <c r="K1" s="52" t="s">
        <v>211</v>
      </c>
      <c r="L1" s="29" t="s">
        <v>212</v>
      </c>
      <c r="M1" s="34" t="s">
        <v>210</v>
      </c>
      <c r="N1" s="34" t="s">
        <v>200</v>
      </c>
      <c r="O1" s="54" t="s">
        <v>201</v>
      </c>
      <c r="P1" s="55" t="s">
        <v>207</v>
      </c>
      <c r="Q1" s="48" t="s">
        <v>185</v>
      </c>
      <c r="R1" s="48" t="s">
        <v>184</v>
      </c>
      <c r="S1" s="48" t="s">
        <v>186</v>
      </c>
      <c r="T1" s="50"/>
      <c r="U1" s="29" t="s">
        <v>206</v>
      </c>
      <c r="V1" s="29" t="s">
        <v>208</v>
      </c>
      <c r="W1" s="29" t="s">
        <v>209</v>
      </c>
      <c r="X1" s="33"/>
    </row>
    <row r="2" spans="1:24" x14ac:dyDescent="0.25">
      <c r="A2" s="7" t="str">
        <f t="shared" ref="A2:A42" si="0">_xlfn.CONCAT(B2,"  ",C2)</f>
        <v>ALEX  KAZUO KODAMA</v>
      </c>
      <c r="B2" s="1" t="s">
        <v>43</v>
      </c>
      <c r="C2" s="1" t="s">
        <v>44</v>
      </c>
      <c r="D2" s="9" t="s">
        <v>152</v>
      </c>
      <c r="E2" s="1" t="s">
        <v>45</v>
      </c>
      <c r="F2" s="4">
        <v>5</v>
      </c>
      <c r="G2" s="14" t="s">
        <v>122</v>
      </c>
      <c r="H2" s="47">
        <v>1</v>
      </c>
      <c r="I2" s="62">
        <v>6</v>
      </c>
      <c r="J2" s="67">
        <v>6</v>
      </c>
      <c r="K2" s="43">
        <f>_xlfn.CEILING.MATH(L2,0.5)</f>
        <v>10</v>
      </c>
      <c r="L2" s="6">
        <f t="shared" ref="L2:L42" si="1">0.25*M2+0.75*N2</f>
        <v>10</v>
      </c>
      <c r="M2" s="56">
        <f t="shared" ref="M2:M10" si="2">(U2+W2)/2</f>
        <v>10</v>
      </c>
      <c r="N2" s="56">
        <v>10</v>
      </c>
      <c r="O2" s="56">
        <f>SUM(Q2,R2,S2)</f>
        <v>10</v>
      </c>
      <c r="P2" s="57" t="s">
        <v>188</v>
      </c>
      <c r="Q2" s="47">
        <v>3</v>
      </c>
      <c r="R2" s="47">
        <v>3.5</v>
      </c>
      <c r="S2" s="47">
        <v>3.5</v>
      </c>
      <c r="T2" s="51" t="s">
        <v>187</v>
      </c>
      <c r="U2" s="5">
        <v>10</v>
      </c>
      <c r="W2" s="5">
        <v>10</v>
      </c>
    </row>
    <row r="3" spans="1:24" x14ac:dyDescent="0.25">
      <c r="A3" s="7" t="str">
        <f t="shared" si="0"/>
        <v>ANDRE  MOREIRA GUIMARAES</v>
      </c>
      <c r="B3" s="1" t="s">
        <v>71</v>
      </c>
      <c r="C3" s="1" t="s">
        <v>72</v>
      </c>
      <c r="D3" s="1"/>
      <c r="E3" s="1" t="s">
        <v>73</v>
      </c>
      <c r="H3" s="47">
        <v>7</v>
      </c>
      <c r="I3" s="43">
        <v>10</v>
      </c>
      <c r="J3" s="67">
        <v>9</v>
      </c>
      <c r="K3" s="43">
        <f t="shared" ref="K3:K42" si="3">_xlfn.CEILING.MATH(L3,0.5)</f>
        <v>6.5</v>
      </c>
      <c r="L3" s="6">
        <f t="shared" si="1"/>
        <v>6.5</v>
      </c>
      <c r="M3" s="56">
        <f t="shared" si="2"/>
        <v>5</v>
      </c>
      <c r="N3" s="56">
        <v>7</v>
      </c>
      <c r="O3" s="56">
        <f>SUM(Q3,R3,S3)</f>
        <v>7</v>
      </c>
      <c r="P3" s="57" t="s">
        <v>191</v>
      </c>
      <c r="Q3" s="47">
        <v>2</v>
      </c>
      <c r="R3" s="47">
        <v>2.5</v>
      </c>
      <c r="S3" s="47">
        <v>2.5</v>
      </c>
      <c r="U3" s="5">
        <v>10</v>
      </c>
    </row>
    <row r="4" spans="1:24" x14ac:dyDescent="0.25">
      <c r="A4" s="7" t="str">
        <f t="shared" si="0"/>
        <v>ANNA  LUIZA STELLA SANTOS</v>
      </c>
      <c r="B4" s="1" t="s">
        <v>62</v>
      </c>
      <c r="C4" s="1" t="s">
        <v>63</v>
      </c>
      <c r="D4" s="1"/>
      <c r="E4" s="1" t="s">
        <v>64</v>
      </c>
      <c r="F4" s="4">
        <v>3</v>
      </c>
      <c r="G4" s="14" t="s">
        <v>123</v>
      </c>
      <c r="H4" s="47">
        <v>2</v>
      </c>
      <c r="I4" s="43">
        <v>5</v>
      </c>
      <c r="J4" s="67">
        <v>4</v>
      </c>
      <c r="K4" s="43">
        <f t="shared" si="3"/>
        <v>1.5</v>
      </c>
      <c r="L4" s="6">
        <f t="shared" si="1"/>
        <v>1.25</v>
      </c>
      <c r="M4" s="56">
        <f t="shared" si="2"/>
        <v>5</v>
      </c>
      <c r="U4" s="5">
        <v>10</v>
      </c>
    </row>
    <row r="5" spans="1:24" x14ac:dyDescent="0.25">
      <c r="A5" s="18" t="str">
        <f t="shared" si="0"/>
        <v>BEATRIZ  LIMA DE MOURA</v>
      </c>
      <c r="B5" s="19" t="s">
        <v>56</v>
      </c>
      <c r="C5" s="19" t="s">
        <v>57</v>
      </c>
      <c r="D5" s="19"/>
      <c r="E5" s="19" t="s">
        <v>58</v>
      </c>
      <c r="F5" s="20">
        <v>4</v>
      </c>
      <c r="G5" s="21" t="s">
        <v>124</v>
      </c>
      <c r="H5" s="48">
        <v>3</v>
      </c>
      <c r="I5" s="44">
        <v>5.5</v>
      </c>
      <c r="J5" s="66">
        <v>4.5</v>
      </c>
      <c r="K5" s="44">
        <f t="shared" si="3"/>
        <v>9.5</v>
      </c>
      <c r="L5" s="45">
        <f t="shared" si="1"/>
        <v>9.125</v>
      </c>
      <c r="M5" s="59">
        <f t="shared" si="2"/>
        <v>9.5</v>
      </c>
      <c r="N5" s="59">
        <v>9</v>
      </c>
      <c r="O5" s="59">
        <f>SUM(Q5,R5,S5)</f>
        <v>9</v>
      </c>
      <c r="P5" s="60" t="s">
        <v>189</v>
      </c>
      <c r="Q5" s="48">
        <v>3</v>
      </c>
      <c r="R5" s="48">
        <v>3.5</v>
      </c>
      <c r="S5" s="48">
        <v>2.5</v>
      </c>
      <c r="T5" s="50" t="s">
        <v>197</v>
      </c>
      <c r="U5" s="22">
        <v>10</v>
      </c>
      <c r="V5" s="22"/>
      <c r="W5" s="22">
        <v>9</v>
      </c>
      <c r="X5" s="33"/>
    </row>
    <row r="6" spans="1:24" x14ac:dyDescent="0.25">
      <c r="A6" s="7" t="str">
        <f t="shared" si="0"/>
        <v>BERNARDO  SOUZA OLIVEIRA</v>
      </c>
      <c r="B6" s="1" t="s">
        <v>104</v>
      </c>
      <c r="C6" s="1" t="s">
        <v>105</v>
      </c>
      <c r="D6" s="9"/>
      <c r="E6" s="1" t="s">
        <v>106</v>
      </c>
      <c r="F6" s="10">
        <v>5</v>
      </c>
      <c r="G6" s="1" t="s">
        <v>125</v>
      </c>
      <c r="H6" s="49">
        <v>7</v>
      </c>
      <c r="I6" s="43">
        <v>9.5</v>
      </c>
      <c r="J6" s="67">
        <v>8.5</v>
      </c>
      <c r="K6" s="43">
        <f t="shared" si="3"/>
        <v>7.5</v>
      </c>
      <c r="L6" s="6">
        <f t="shared" si="1"/>
        <v>7.25</v>
      </c>
      <c r="M6" s="56">
        <f t="shared" si="2"/>
        <v>8</v>
      </c>
      <c r="N6" s="56">
        <v>7</v>
      </c>
      <c r="O6" s="56">
        <f>O5</f>
        <v>9</v>
      </c>
      <c r="U6" s="11" t="s">
        <v>202</v>
      </c>
      <c r="V6" s="11"/>
      <c r="W6" s="42" t="s">
        <v>205</v>
      </c>
    </row>
    <row r="7" spans="1:24" x14ac:dyDescent="0.25">
      <c r="A7" s="7" t="str">
        <f t="shared" si="0"/>
        <v>BRUNA  AGUIAR MUCHIUTI</v>
      </c>
      <c r="B7" s="1" t="s">
        <v>3</v>
      </c>
      <c r="C7" s="1" t="s">
        <v>4</v>
      </c>
      <c r="D7" s="9"/>
      <c r="E7" s="1" t="s">
        <v>5</v>
      </c>
      <c r="F7" s="4">
        <v>5</v>
      </c>
      <c r="G7" s="14" t="s">
        <v>150</v>
      </c>
      <c r="H7" s="47">
        <v>9</v>
      </c>
      <c r="I7" s="43">
        <v>5</v>
      </c>
      <c r="J7" s="67">
        <v>4</v>
      </c>
      <c r="K7" s="43">
        <f t="shared" si="3"/>
        <v>7.5</v>
      </c>
      <c r="L7" s="6">
        <f t="shared" si="1"/>
        <v>7.375</v>
      </c>
      <c r="M7" s="56">
        <f t="shared" si="2"/>
        <v>10</v>
      </c>
      <c r="N7" s="56">
        <v>6.5</v>
      </c>
      <c r="O7" s="56">
        <f>SUM(Q7,R7,S7)</f>
        <v>6.5</v>
      </c>
      <c r="P7" s="57" t="s">
        <v>194</v>
      </c>
      <c r="Q7" s="47">
        <v>1.5</v>
      </c>
      <c r="R7" s="47">
        <v>2.5</v>
      </c>
      <c r="S7" s="47">
        <v>2.5</v>
      </c>
      <c r="U7" s="5">
        <v>10</v>
      </c>
      <c r="W7" s="5">
        <v>10</v>
      </c>
    </row>
    <row r="8" spans="1:24" x14ac:dyDescent="0.25">
      <c r="A8" s="7" t="str">
        <f t="shared" si="0"/>
        <v>BRUNO  ANTICO GALIN</v>
      </c>
      <c r="B8" s="1" t="s">
        <v>10</v>
      </c>
      <c r="C8" s="1" t="s">
        <v>11</v>
      </c>
      <c r="D8" s="1"/>
      <c r="E8" s="1" t="s">
        <v>12</v>
      </c>
      <c r="F8" s="4">
        <v>5</v>
      </c>
      <c r="G8" t="s">
        <v>126</v>
      </c>
      <c r="H8" s="47">
        <v>4</v>
      </c>
      <c r="I8" s="43">
        <v>6.5</v>
      </c>
      <c r="J8" s="67">
        <v>5.5</v>
      </c>
      <c r="K8" s="43">
        <f t="shared" si="3"/>
        <v>8.5</v>
      </c>
      <c r="L8" s="6">
        <f t="shared" si="1"/>
        <v>8.125</v>
      </c>
      <c r="M8" s="56">
        <f t="shared" si="2"/>
        <v>10</v>
      </c>
      <c r="N8" s="56">
        <v>7.5</v>
      </c>
      <c r="O8" s="56">
        <f>SUM(Q8,R8,S8)</f>
        <v>7.5</v>
      </c>
      <c r="P8" s="57" t="s">
        <v>193</v>
      </c>
      <c r="Q8" s="47">
        <v>2.5</v>
      </c>
      <c r="R8" s="47">
        <v>2.5</v>
      </c>
      <c r="S8" s="47">
        <v>2.5</v>
      </c>
      <c r="U8" s="5">
        <v>10</v>
      </c>
      <c r="W8" s="5">
        <v>10</v>
      </c>
    </row>
    <row r="9" spans="1:24" x14ac:dyDescent="0.25">
      <c r="A9" s="7" t="str">
        <f t="shared" si="0"/>
        <v>BRUNO  LAUAND FERRAO</v>
      </c>
      <c r="B9" s="1" t="s">
        <v>10</v>
      </c>
      <c r="C9" s="1" t="s">
        <v>52</v>
      </c>
      <c r="D9" s="1"/>
      <c r="E9" s="1" t="s">
        <v>53</v>
      </c>
      <c r="F9" s="4">
        <v>3</v>
      </c>
      <c r="G9" s="14" t="s">
        <v>127</v>
      </c>
      <c r="H9" s="47">
        <v>5</v>
      </c>
      <c r="I9" s="43">
        <v>5.5</v>
      </c>
      <c r="J9" s="67">
        <v>4.5</v>
      </c>
      <c r="K9" s="43">
        <f t="shared" si="3"/>
        <v>10</v>
      </c>
      <c r="L9" s="6">
        <f t="shared" si="1"/>
        <v>9.875</v>
      </c>
      <c r="M9" s="56">
        <f t="shared" si="2"/>
        <v>9.5</v>
      </c>
      <c r="N9" s="56">
        <v>10</v>
      </c>
      <c r="O9" s="56">
        <f>SUM(Q9,R9,S9)</f>
        <v>10</v>
      </c>
      <c r="P9" s="57" t="s">
        <v>192</v>
      </c>
      <c r="Q9" s="47">
        <v>3</v>
      </c>
      <c r="R9" s="47">
        <v>3.5</v>
      </c>
      <c r="S9" s="47">
        <v>3.5</v>
      </c>
      <c r="T9" s="51" t="s">
        <v>198</v>
      </c>
      <c r="U9" s="5">
        <v>10</v>
      </c>
      <c r="W9" s="5">
        <v>9</v>
      </c>
    </row>
    <row r="10" spans="1:24" x14ac:dyDescent="0.25">
      <c r="A10" s="18" t="str">
        <f t="shared" si="0"/>
        <v>CAUE  MACEDO DE SOUZA</v>
      </c>
      <c r="B10" s="19" t="s">
        <v>65</v>
      </c>
      <c r="C10" s="19" t="s">
        <v>66</v>
      </c>
      <c r="D10" s="19"/>
      <c r="E10" s="19" t="s">
        <v>67</v>
      </c>
      <c r="F10" s="20"/>
      <c r="G10" s="21"/>
      <c r="H10" s="48"/>
      <c r="I10" s="63">
        <v>3</v>
      </c>
      <c r="J10" s="66">
        <v>3</v>
      </c>
      <c r="K10" s="44">
        <f t="shared" si="3"/>
        <v>0</v>
      </c>
      <c r="L10" s="45">
        <f t="shared" si="1"/>
        <v>0</v>
      </c>
      <c r="M10" s="59">
        <f t="shared" si="2"/>
        <v>0</v>
      </c>
      <c r="N10" s="59"/>
      <c r="O10" s="59"/>
      <c r="P10" s="60"/>
      <c r="Q10" s="48"/>
      <c r="R10" s="48"/>
      <c r="S10" s="48"/>
      <c r="T10" s="50"/>
      <c r="U10" s="22"/>
      <c r="V10" s="22"/>
      <c r="W10" s="22"/>
      <c r="X10" s="33"/>
    </row>
    <row r="11" spans="1:24" x14ac:dyDescent="0.25">
      <c r="A11" s="7" t="str">
        <f t="shared" si="0"/>
        <v>CLEVERSON  PEREIRA DA SILVA</v>
      </c>
      <c r="B11" s="1" t="s">
        <v>83</v>
      </c>
      <c r="C11" s="1" t="s">
        <v>84</v>
      </c>
      <c r="D11" s="9"/>
      <c r="E11" s="1" t="s">
        <v>85</v>
      </c>
      <c r="F11" s="10">
        <v>5</v>
      </c>
      <c r="G11" s="1" t="s">
        <v>128</v>
      </c>
      <c r="H11" s="49">
        <v>4</v>
      </c>
      <c r="I11" s="43">
        <v>4</v>
      </c>
      <c r="J11" s="67">
        <v>3</v>
      </c>
      <c r="K11" s="43">
        <f t="shared" si="3"/>
        <v>7.5</v>
      </c>
      <c r="L11" s="6">
        <f t="shared" si="1"/>
        <v>7.375</v>
      </c>
      <c r="M11" s="56">
        <v>7</v>
      </c>
      <c r="N11" s="56">
        <v>7.5</v>
      </c>
      <c r="O11" s="56">
        <f>O10</f>
        <v>0</v>
      </c>
      <c r="U11" s="11" t="s">
        <v>202</v>
      </c>
      <c r="V11" s="11"/>
      <c r="W11" s="42" t="s">
        <v>202</v>
      </c>
    </row>
    <row r="12" spans="1:24" x14ac:dyDescent="0.25">
      <c r="A12" s="7" t="str">
        <f t="shared" si="0"/>
        <v>EDUARDO  OLIVEIRA CARVALHO</v>
      </c>
      <c r="B12" s="1" t="s">
        <v>77</v>
      </c>
      <c r="C12" s="1" t="s">
        <v>78</v>
      </c>
      <c r="D12" s="9"/>
      <c r="E12" s="1" t="s">
        <v>79</v>
      </c>
      <c r="F12" s="4">
        <v>5</v>
      </c>
      <c r="G12" s="14" t="s">
        <v>129</v>
      </c>
      <c r="H12" s="47">
        <v>6</v>
      </c>
      <c r="I12" s="43">
        <v>8</v>
      </c>
      <c r="J12" s="67">
        <v>7</v>
      </c>
      <c r="K12" s="43">
        <f t="shared" si="3"/>
        <v>6</v>
      </c>
      <c r="L12" s="6">
        <f t="shared" si="1"/>
        <v>5.75</v>
      </c>
      <c r="M12" s="56">
        <f t="shared" ref="M12:M42" si="4">(U12+W12)/2</f>
        <v>5</v>
      </c>
      <c r="N12" s="56">
        <v>6</v>
      </c>
      <c r="O12" s="56">
        <f>SUM(Q12,R12,S12)</f>
        <v>6</v>
      </c>
      <c r="P12" s="57" t="s">
        <v>196</v>
      </c>
      <c r="Q12" s="47">
        <v>1.5</v>
      </c>
      <c r="R12" s="47">
        <v>2.5</v>
      </c>
      <c r="S12" s="47">
        <v>2</v>
      </c>
      <c r="W12" s="5">
        <v>10</v>
      </c>
    </row>
    <row r="13" spans="1:24" x14ac:dyDescent="0.25">
      <c r="A13" s="7" t="str">
        <f t="shared" si="0"/>
        <v>EDUARDO  TAKASHI MISSAKA</v>
      </c>
      <c r="B13" s="1" t="s">
        <v>77</v>
      </c>
      <c r="C13" s="1" t="s">
        <v>107</v>
      </c>
      <c r="D13" s="1"/>
      <c r="E13" s="1" t="s">
        <v>108</v>
      </c>
      <c r="F13" s="4">
        <v>5</v>
      </c>
      <c r="G13" t="s">
        <v>130</v>
      </c>
      <c r="H13" s="47">
        <v>4</v>
      </c>
      <c r="I13" s="43">
        <v>5</v>
      </c>
      <c r="J13" s="67">
        <v>4</v>
      </c>
      <c r="K13" s="43">
        <f t="shared" si="3"/>
        <v>8.5</v>
      </c>
      <c r="L13" s="6">
        <f t="shared" si="1"/>
        <v>8.125</v>
      </c>
      <c r="M13" s="56">
        <f t="shared" si="4"/>
        <v>10</v>
      </c>
      <c r="N13" s="56">
        <v>7.5</v>
      </c>
      <c r="O13" s="56">
        <f t="shared" ref="O13:O18" si="5">O12</f>
        <v>6</v>
      </c>
      <c r="U13" s="5">
        <v>10</v>
      </c>
      <c r="W13" s="5">
        <v>10</v>
      </c>
    </row>
    <row r="14" spans="1:24" x14ac:dyDescent="0.25">
      <c r="A14" s="7" t="str">
        <f t="shared" si="0"/>
        <v>ENZO  BENEDETTO PROENCA</v>
      </c>
      <c r="B14" s="1" t="s">
        <v>22</v>
      </c>
      <c r="C14" s="1" t="s">
        <v>23</v>
      </c>
      <c r="D14" s="1"/>
      <c r="E14" s="1" t="s">
        <v>24</v>
      </c>
      <c r="F14" s="4">
        <v>5</v>
      </c>
      <c r="G14" s="14" t="s">
        <v>131</v>
      </c>
      <c r="H14" s="47">
        <v>9</v>
      </c>
      <c r="I14" s="43">
        <v>7</v>
      </c>
      <c r="J14" s="67">
        <v>6</v>
      </c>
      <c r="K14" s="43">
        <f t="shared" si="3"/>
        <v>7.5</v>
      </c>
      <c r="L14" s="6">
        <f t="shared" si="1"/>
        <v>7.375</v>
      </c>
      <c r="M14" s="56">
        <f t="shared" si="4"/>
        <v>10</v>
      </c>
      <c r="N14" s="56">
        <v>6.5</v>
      </c>
      <c r="O14" s="56">
        <f t="shared" si="5"/>
        <v>6</v>
      </c>
      <c r="U14" s="5">
        <v>10</v>
      </c>
      <c r="W14" s="5">
        <v>10</v>
      </c>
    </row>
    <row r="15" spans="1:24" x14ac:dyDescent="0.25">
      <c r="A15" s="18" t="str">
        <f t="shared" si="0"/>
        <v>FELIPE  VIVIANI SCHULZE</v>
      </c>
      <c r="B15" s="19" t="s">
        <v>113</v>
      </c>
      <c r="C15" s="19" t="s">
        <v>114</v>
      </c>
      <c r="D15" s="19"/>
      <c r="E15" s="19" t="s">
        <v>115</v>
      </c>
      <c r="F15" s="20">
        <v>4</v>
      </c>
      <c r="G15" s="21" t="s">
        <v>132</v>
      </c>
      <c r="H15" s="48">
        <v>6</v>
      </c>
      <c r="I15" s="63">
        <v>6.5</v>
      </c>
      <c r="J15" s="66">
        <v>6.5</v>
      </c>
      <c r="K15" s="44">
        <f t="shared" si="3"/>
        <v>7</v>
      </c>
      <c r="L15" s="45">
        <f t="shared" si="1"/>
        <v>7</v>
      </c>
      <c r="M15" s="59">
        <f t="shared" si="4"/>
        <v>10</v>
      </c>
      <c r="N15" s="59">
        <v>6</v>
      </c>
      <c r="O15" s="59">
        <f t="shared" si="5"/>
        <v>6</v>
      </c>
      <c r="P15" s="60"/>
      <c r="Q15" s="48"/>
      <c r="R15" s="48"/>
      <c r="S15" s="48"/>
      <c r="T15" s="50"/>
      <c r="U15" s="22">
        <v>10</v>
      </c>
      <c r="V15" s="22"/>
      <c r="W15" s="22">
        <v>10</v>
      </c>
      <c r="X15" s="33"/>
    </row>
    <row r="16" spans="1:24" x14ac:dyDescent="0.25">
      <c r="A16" s="7" t="str">
        <f t="shared" si="0"/>
        <v>FERNANDO  MATHIAS FERRO DOS SANTOS</v>
      </c>
      <c r="B16" s="1" t="s">
        <v>68</v>
      </c>
      <c r="C16" s="1" t="s">
        <v>69</v>
      </c>
      <c r="D16" s="9"/>
      <c r="E16" s="1" t="s">
        <v>70</v>
      </c>
      <c r="F16" s="10">
        <v>5</v>
      </c>
      <c r="G16" s="1" t="s">
        <v>133</v>
      </c>
      <c r="H16" s="49">
        <v>6</v>
      </c>
      <c r="I16" s="62">
        <v>5</v>
      </c>
      <c r="J16" s="67">
        <v>4</v>
      </c>
      <c r="K16" s="43">
        <f t="shared" si="3"/>
        <v>7</v>
      </c>
      <c r="L16" s="6">
        <f t="shared" si="1"/>
        <v>7</v>
      </c>
      <c r="M16" s="56">
        <f t="shared" si="4"/>
        <v>10</v>
      </c>
      <c r="N16" s="56">
        <v>6</v>
      </c>
      <c r="O16" s="56">
        <f t="shared" si="5"/>
        <v>6</v>
      </c>
      <c r="U16" s="11" t="s">
        <v>202</v>
      </c>
      <c r="V16" s="11"/>
      <c r="W16" s="42" t="s">
        <v>202</v>
      </c>
    </row>
    <row r="17" spans="1:24" x14ac:dyDescent="0.25">
      <c r="A17" s="7" t="str">
        <f t="shared" si="0"/>
        <v>FRANCISCO  LOSADA TOTARO</v>
      </c>
      <c r="B17" s="1" t="s">
        <v>59</v>
      </c>
      <c r="C17" s="1" t="s">
        <v>60</v>
      </c>
      <c r="D17" s="9"/>
      <c r="E17" s="1" t="s">
        <v>61</v>
      </c>
      <c r="F17" s="4">
        <v>5</v>
      </c>
      <c r="G17" s="14" t="s">
        <v>134</v>
      </c>
      <c r="H17" s="47">
        <v>6</v>
      </c>
      <c r="I17" s="62">
        <v>4.5</v>
      </c>
      <c r="J17" s="67">
        <v>4.5</v>
      </c>
      <c r="K17" s="43">
        <f t="shared" si="3"/>
        <v>7</v>
      </c>
      <c r="L17" s="6">
        <f t="shared" si="1"/>
        <v>7</v>
      </c>
      <c r="M17" s="56">
        <f t="shared" si="4"/>
        <v>10</v>
      </c>
      <c r="N17" s="56">
        <v>6</v>
      </c>
      <c r="O17" s="56">
        <f t="shared" si="5"/>
        <v>6</v>
      </c>
      <c r="U17" s="5">
        <v>10</v>
      </c>
      <c r="W17" s="5">
        <v>10</v>
      </c>
    </row>
    <row r="18" spans="1:24" x14ac:dyDescent="0.25">
      <c r="A18" s="7" t="str">
        <f t="shared" si="0"/>
        <v>GABRIEL  KEN KAZAMA GERONAZZO</v>
      </c>
      <c r="B18" s="1" t="s">
        <v>46</v>
      </c>
      <c r="C18" s="1" t="s">
        <v>47</v>
      </c>
      <c r="D18" s="1"/>
      <c r="E18" s="1" t="s">
        <v>48</v>
      </c>
      <c r="F18" s="4">
        <v>5</v>
      </c>
      <c r="G18" t="s">
        <v>135</v>
      </c>
      <c r="H18" s="47">
        <v>9</v>
      </c>
      <c r="I18" s="43">
        <v>9</v>
      </c>
      <c r="J18" s="67">
        <v>8</v>
      </c>
      <c r="K18" s="43">
        <f t="shared" si="3"/>
        <v>7</v>
      </c>
      <c r="L18" s="6">
        <f t="shared" si="1"/>
        <v>6.75</v>
      </c>
      <c r="M18" s="56">
        <f t="shared" si="4"/>
        <v>7.5</v>
      </c>
      <c r="N18" s="56">
        <v>6.5</v>
      </c>
      <c r="O18" s="56">
        <f t="shared" si="5"/>
        <v>6</v>
      </c>
      <c r="U18" s="5">
        <v>10</v>
      </c>
      <c r="W18" s="5">
        <v>5</v>
      </c>
    </row>
    <row r="19" spans="1:24" x14ac:dyDescent="0.25">
      <c r="A19" s="7" t="str">
        <f t="shared" si="0"/>
        <v>GABRIEL  LAZARETI CARDOSO</v>
      </c>
      <c r="B19" s="1" t="s">
        <v>46</v>
      </c>
      <c r="C19" s="1" t="s">
        <v>54</v>
      </c>
      <c r="D19" s="1"/>
      <c r="E19" s="1" t="s">
        <v>55</v>
      </c>
      <c r="G19" s="14"/>
      <c r="H19" s="47">
        <v>8</v>
      </c>
      <c r="I19" s="43" t="s">
        <v>8</v>
      </c>
      <c r="K19" s="43">
        <f t="shared" si="3"/>
        <v>6</v>
      </c>
      <c r="L19" s="6">
        <f t="shared" si="1"/>
        <v>6</v>
      </c>
      <c r="M19" s="56">
        <f t="shared" si="4"/>
        <v>0</v>
      </c>
      <c r="N19" s="56">
        <v>8</v>
      </c>
      <c r="O19" s="56">
        <f>SUM(Q19,R19,S19)</f>
        <v>8</v>
      </c>
      <c r="P19" s="57" t="s">
        <v>195</v>
      </c>
      <c r="Q19" s="47">
        <v>2.5</v>
      </c>
      <c r="R19" s="47">
        <v>3</v>
      </c>
      <c r="S19" s="47">
        <v>2.5</v>
      </c>
      <c r="T19" s="51" t="s">
        <v>199</v>
      </c>
    </row>
    <row r="20" spans="1:24" x14ac:dyDescent="0.25">
      <c r="A20" s="18" t="str">
        <f t="shared" si="0"/>
        <v>GABRIEL  TORTOLIO FONSECA</v>
      </c>
      <c r="B20" s="19" t="s">
        <v>46</v>
      </c>
      <c r="C20" s="19" t="s">
        <v>109</v>
      </c>
      <c r="D20" s="19"/>
      <c r="E20" s="19" t="s">
        <v>110</v>
      </c>
      <c r="F20" s="20"/>
      <c r="G20" s="21"/>
      <c r="H20" s="48">
        <v>1</v>
      </c>
      <c r="I20" s="44">
        <v>4</v>
      </c>
      <c r="J20" s="66">
        <v>3</v>
      </c>
      <c r="K20" s="44">
        <f t="shared" si="3"/>
        <v>8.5</v>
      </c>
      <c r="L20" s="45">
        <f t="shared" si="1"/>
        <v>8.375</v>
      </c>
      <c r="M20" s="59">
        <f t="shared" si="4"/>
        <v>3.5</v>
      </c>
      <c r="N20" s="59">
        <v>10</v>
      </c>
      <c r="O20" s="59">
        <f>O19</f>
        <v>8</v>
      </c>
      <c r="P20" s="60"/>
      <c r="Q20" s="48"/>
      <c r="R20" s="48"/>
      <c r="S20" s="48"/>
      <c r="T20" s="50"/>
      <c r="U20" s="22">
        <v>7</v>
      </c>
      <c r="V20" s="22" t="s">
        <v>203</v>
      </c>
      <c r="W20" s="22"/>
      <c r="X20" s="33"/>
    </row>
    <row r="21" spans="1:24" x14ac:dyDescent="0.25">
      <c r="A21" s="7" t="str">
        <f t="shared" si="0"/>
        <v>GIOVANA  SIMOES FRANCO</v>
      </c>
      <c r="B21" s="1" t="s">
        <v>101</v>
      </c>
      <c r="C21" s="1" t="s">
        <v>102</v>
      </c>
      <c r="D21" s="9"/>
      <c r="E21" s="1" t="s">
        <v>103</v>
      </c>
      <c r="F21" s="10">
        <v>3</v>
      </c>
      <c r="G21" s="1" t="s">
        <v>136</v>
      </c>
      <c r="H21" s="49">
        <v>3</v>
      </c>
      <c r="I21" s="43">
        <v>7</v>
      </c>
      <c r="J21" s="67">
        <v>6</v>
      </c>
      <c r="K21" s="43">
        <f t="shared" si="3"/>
        <v>9.5</v>
      </c>
      <c r="L21" s="6">
        <f t="shared" si="1"/>
        <v>9.25</v>
      </c>
      <c r="M21" s="56">
        <f t="shared" si="4"/>
        <v>10</v>
      </c>
      <c r="N21" s="56">
        <v>9</v>
      </c>
      <c r="O21" s="56">
        <f>O20</f>
        <v>8</v>
      </c>
      <c r="U21" s="11" t="s">
        <v>202</v>
      </c>
      <c r="V21" s="11"/>
      <c r="W21" s="42" t="s">
        <v>202</v>
      </c>
    </row>
    <row r="22" spans="1:24" x14ac:dyDescent="0.25">
      <c r="A22" s="7" t="str">
        <f t="shared" si="0"/>
        <v>GUILHERME  FERREIRA MARTINS RAMOS</v>
      </c>
      <c r="B22" s="1" t="s">
        <v>34</v>
      </c>
      <c r="C22" s="1" t="s">
        <v>35</v>
      </c>
      <c r="D22" s="9"/>
      <c r="E22" s="1" t="s">
        <v>36</v>
      </c>
      <c r="F22" s="4">
        <v>4</v>
      </c>
      <c r="G22" s="14" t="s">
        <v>137</v>
      </c>
      <c r="H22" s="47">
        <v>6</v>
      </c>
      <c r="I22" s="43">
        <v>8</v>
      </c>
      <c r="J22" s="67">
        <v>7</v>
      </c>
      <c r="K22" s="43">
        <f t="shared" si="3"/>
        <v>6</v>
      </c>
      <c r="L22" s="6">
        <f t="shared" si="1"/>
        <v>5.75</v>
      </c>
      <c r="M22" s="56">
        <f t="shared" si="4"/>
        <v>5</v>
      </c>
      <c r="N22" s="56">
        <v>6</v>
      </c>
      <c r="O22" s="56">
        <f>O21</f>
        <v>8</v>
      </c>
      <c r="W22" s="5">
        <v>10</v>
      </c>
    </row>
    <row r="23" spans="1:24" x14ac:dyDescent="0.25">
      <c r="A23" s="7" t="str">
        <f t="shared" si="0"/>
        <v>GUSTAVO  KENZO NAKAZATO SLEIMAN</v>
      </c>
      <c r="B23" s="1" t="s">
        <v>49</v>
      </c>
      <c r="C23" s="1" t="s">
        <v>50</v>
      </c>
      <c r="D23" s="1"/>
      <c r="E23" s="1" t="s">
        <v>51</v>
      </c>
      <c r="I23" s="43" t="s">
        <v>8</v>
      </c>
      <c r="K23" s="43">
        <f t="shared" si="3"/>
        <v>0</v>
      </c>
      <c r="L23" s="6">
        <f t="shared" si="1"/>
        <v>0</v>
      </c>
      <c r="M23" s="56">
        <f t="shared" si="4"/>
        <v>0</v>
      </c>
    </row>
    <row r="24" spans="1:24" x14ac:dyDescent="0.25">
      <c r="A24" s="7" t="str">
        <f t="shared" si="0"/>
        <v>HENRIQUE  YUJI ISOGAI YONEOKA</v>
      </c>
      <c r="B24" s="1" t="s">
        <v>116</v>
      </c>
      <c r="C24" s="1" t="s">
        <v>117</v>
      </c>
      <c r="D24" s="1"/>
      <c r="E24" s="1" t="s">
        <v>118</v>
      </c>
      <c r="F24" s="4">
        <v>1</v>
      </c>
      <c r="G24" s="14" t="s">
        <v>138</v>
      </c>
      <c r="H24" s="47">
        <v>7</v>
      </c>
      <c r="I24" s="62">
        <v>4</v>
      </c>
      <c r="J24" s="67">
        <v>4</v>
      </c>
      <c r="K24" s="43">
        <f t="shared" si="3"/>
        <v>6.5</v>
      </c>
      <c r="L24" s="6">
        <f t="shared" si="1"/>
        <v>6.125</v>
      </c>
      <c r="M24" s="56">
        <f t="shared" si="4"/>
        <v>3.5</v>
      </c>
      <c r="N24" s="56">
        <v>7</v>
      </c>
      <c r="O24" s="56">
        <f t="shared" ref="O24:O31" si="6">O23</f>
        <v>0</v>
      </c>
      <c r="U24" s="5">
        <v>7</v>
      </c>
      <c r="V24" s="41" t="s">
        <v>204</v>
      </c>
      <c r="W24" s="41"/>
    </row>
    <row r="25" spans="1:24" x14ac:dyDescent="0.25">
      <c r="A25" s="18" t="str">
        <f t="shared" si="0"/>
        <v>ISMAEL  DE SOUSA SILVA</v>
      </c>
      <c r="B25" s="19" t="s">
        <v>28</v>
      </c>
      <c r="C25" s="19" t="s">
        <v>29</v>
      </c>
      <c r="D25" s="19"/>
      <c r="E25" s="19" t="s">
        <v>30</v>
      </c>
      <c r="F25" s="20">
        <v>2</v>
      </c>
      <c r="G25" s="21" t="s">
        <v>139</v>
      </c>
      <c r="H25" s="48">
        <v>4</v>
      </c>
      <c r="I25" s="44">
        <v>6</v>
      </c>
      <c r="J25" s="66">
        <v>5</v>
      </c>
      <c r="K25" s="44">
        <f t="shared" si="3"/>
        <v>8.5</v>
      </c>
      <c r="L25" s="45">
        <f t="shared" si="1"/>
        <v>8.125</v>
      </c>
      <c r="M25" s="59">
        <f t="shared" si="4"/>
        <v>10</v>
      </c>
      <c r="N25" s="59">
        <v>7.5</v>
      </c>
      <c r="O25" s="59">
        <f t="shared" si="6"/>
        <v>0</v>
      </c>
      <c r="P25" s="60"/>
      <c r="Q25" s="48"/>
      <c r="R25" s="48"/>
      <c r="S25" s="48"/>
      <c r="T25" s="50"/>
      <c r="U25" s="22">
        <v>10</v>
      </c>
      <c r="V25" s="22"/>
      <c r="W25" s="22">
        <v>10</v>
      </c>
      <c r="X25" s="33"/>
    </row>
    <row r="26" spans="1:24" x14ac:dyDescent="0.25">
      <c r="A26" s="7" t="str">
        <f t="shared" si="0"/>
        <v>JESSICA  DOS SANTOS SANTANA BISPO</v>
      </c>
      <c r="B26" s="1" t="s">
        <v>31</v>
      </c>
      <c r="C26" s="1" t="s">
        <v>32</v>
      </c>
      <c r="D26" s="9"/>
      <c r="E26" s="1" t="s">
        <v>33</v>
      </c>
      <c r="F26" s="10">
        <v>5</v>
      </c>
      <c r="G26" s="1" t="s">
        <v>140</v>
      </c>
      <c r="H26" s="49">
        <v>9</v>
      </c>
      <c r="I26" s="43">
        <v>5.5</v>
      </c>
      <c r="J26" s="67">
        <v>4.5</v>
      </c>
      <c r="K26" s="43">
        <f t="shared" si="3"/>
        <v>7.5</v>
      </c>
      <c r="L26" s="6">
        <f t="shared" si="1"/>
        <v>7.375</v>
      </c>
      <c r="M26" s="56">
        <f t="shared" si="4"/>
        <v>10</v>
      </c>
      <c r="N26" s="56">
        <v>6.5</v>
      </c>
      <c r="O26" s="56">
        <f t="shared" si="6"/>
        <v>0</v>
      </c>
      <c r="U26" s="11" t="s">
        <v>202</v>
      </c>
      <c r="V26" s="11"/>
      <c r="W26" s="42" t="s">
        <v>202</v>
      </c>
    </row>
    <row r="27" spans="1:24" x14ac:dyDescent="0.25">
      <c r="A27" s="7" t="str">
        <f t="shared" si="0"/>
        <v>JOAO  ROCHA MURGEL</v>
      </c>
      <c r="B27" s="1" t="s">
        <v>92</v>
      </c>
      <c r="C27" s="1" t="s">
        <v>93</v>
      </c>
      <c r="D27" s="9"/>
      <c r="E27" s="1" t="s">
        <v>94</v>
      </c>
      <c r="G27" s="14"/>
      <c r="H27" s="47">
        <v>8</v>
      </c>
      <c r="K27" s="43">
        <f t="shared" si="3"/>
        <v>7.5</v>
      </c>
      <c r="L27" s="6">
        <f t="shared" si="1"/>
        <v>7.25</v>
      </c>
      <c r="M27" s="56">
        <f t="shared" si="4"/>
        <v>5</v>
      </c>
      <c r="N27" s="56">
        <v>8</v>
      </c>
      <c r="O27" s="56">
        <f t="shared" si="6"/>
        <v>0</v>
      </c>
      <c r="U27" s="5">
        <v>10</v>
      </c>
    </row>
    <row r="28" spans="1:24" x14ac:dyDescent="0.25">
      <c r="A28" s="7" t="str">
        <f t="shared" si="0"/>
        <v>JOAO  VICTOR MARTINS</v>
      </c>
      <c r="B28" s="1" t="s">
        <v>92</v>
      </c>
      <c r="C28" s="1" t="s">
        <v>111</v>
      </c>
      <c r="D28" s="1"/>
      <c r="E28" s="1" t="s">
        <v>112</v>
      </c>
      <c r="H28" s="47">
        <v>7</v>
      </c>
      <c r="I28" s="62">
        <v>5.5</v>
      </c>
      <c r="J28" s="67">
        <v>5.5</v>
      </c>
      <c r="K28" s="43">
        <f t="shared" si="3"/>
        <v>6.5</v>
      </c>
      <c r="L28" s="6">
        <f t="shared" si="1"/>
        <v>6.5</v>
      </c>
      <c r="M28" s="56">
        <f t="shared" si="4"/>
        <v>5</v>
      </c>
      <c r="N28" s="56">
        <v>7</v>
      </c>
      <c r="O28" s="56">
        <f t="shared" si="6"/>
        <v>0</v>
      </c>
      <c r="U28" s="5">
        <v>10</v>
      </c>
    </row>
    <row r="29" spans="1:24" x14ac:dyDescent="0.25">
      <c r="A29" s="7" t="str">
        <f t="shared" si="0"/>
        <v>JULIA  SANTOS OLIVEIRA</v>
      </c>
      <c r="B29" s="1" t="s">
        <v>95</v>
      </c>
      <c r="C29" s="1" t="s">
        <v>96</v>
      </c>
      <c r="D29" s="1"/>
      <c r="E29" s="1" t="s">
        <v>97</v>
      </c>
      <c r="F29" s="4">
        <v>5</v>
      </c>
      <c r="G29" s="14" t="s">
        <v>147</v>
      </c>
      <c r="H29" s="47">
        <v>3</v>
      </c>
      <c r="I29" s="43">
        <v>6.5</v>
      </c>
      <c r="J29" s="67">
        <v>5.5</v>
      </c>
      <c r="K29" s="43">
        <f t="shared" si="3"/>
        <v>9.5</v>
      </c>
      <c r="L29" s="6">
        <f t="shared" si="1"/>
        <v>9.25</v>
      </c>
      <c r="M29" s="56">
        <f t="shared" si="4"/>
        <v>10</v>
      </c>
      <c r="N29" s="56">
        <v>9</v>
      </c>
      <c r="O29" s="56">
        <f t="shared" si="6"/>
        <v>0</v>
      </c>
      <c r="U29" s="5">
        <v>10</v>
      </c>
      <c r="W29" s="5">
        <v>10</v>
      </c>
    </row>
    <row r="30" spans="1:24" x14ac:dyDescent="0.25">
      <c r="A30" s="18" t="str">
        <f t="shared" si="0"/>
        <v>LARISSA  YURI SATO</v>
      </c>
      <c r="B30" s="19" t="s">
        <v>119</v>
      </c>
      <c r="C30" s="19" t="s">
        <v>120</v>
      </c>
      <c r="D30" s="19"/>
      <c r="E30" s="19" t="s">
        <v>121</v>
      </c>
      <c r="F30" s="20">
        <v>5</v>
      </c>
      <c r="G30" s="21" t="s">
        <v>141</v>
      </c>
      <c r="H30" s="48">
        <v>3</v>
      </c>
      <c r="I30" s="44">
        <v>7</v>
      </c>
      <c r="J30" s="66">
        <v>6</v>
      </c>
      <c r="K30" s="44">
        <f t="shared" si="3"/>
        <v>9.5</v>
      </c>
      <c r="L30" s="45">
        <f t="shared" si="1"/>
        <v>9.25</v>
      </c>
      <c r="M30" s="59">
        <f t="shared" si="4"/>
        <v>10</v>
      </c>
      <c r="N30" s="59">
        <v>9</v>
      </c>
      <c r="O30" s="59">
        <f t="shared" si="6"/>
        <v>0</v>
      </c>
      <c r="P30" s="60"/>
      <c r="Q30" s="48"/>
      <c r="R30" s="48"/>
      <c r="S30" s="48"/>
      <c r="T30" s="50"/>
      <c r="U30" s="22">
        <v>10</v>
      </c>
      <c r="V30" s="22"/>
      <c r="W30" s="22">
        <v>10</v>
      </c>
      <c r="X30" s="33"/>
    </row>
    <row r="31" spans="1:24" x14ac:dyDescent="0.25">
      <c r="A31" s="7" t="str">
        <f t="shared" si="0"/>
        <v>LEONARDO  PATRIANI CARDOSO</v>
      </c>
      <c r="B31" s="1" t="s">
        <v>80</v>
      </c>
      <c r="C31" s="1" t="s">
        <v>81</v>
      </c>
      <c r="D31" s="9"/>
      <c r="E31" s="1" t="s">
        <v>82</v>
      </c>
      <c r="F31" s="10"/>
      <c r="G31" s="1"/>
      <c r="H31" s="49">
        <v>7</v>
      </c>
      <c r="I31" s="43">
        <v>7.5</v>
      </c>
      <c r="J31" s="67">
        <v>6.5</v>
      </c>
      <c r="K31" s="43">
        <f t="shared" si="3"/>
        <v>5.5</v>
      </c>
      <c r="L31" s="6">
        <f t="shared" si="1"/>
        <v>5.25</v>
      </c>
      <c r="M31" s="56">
        <f t="shared" si="4"/>
        <v>0</v>
      </c>
      <c r="N31" s="56">
        <v>7</v>
      </c>
      <c r="O31" s="56">
        <f t="shared" si="6"/>
        <v>0</v>
      </c>
      <c r="U31" s="11"/>
      <c r="V31" s="11"/>
      <c r="W31" s="11"/>
    </row>
    <row r="32" spans="1:24" x14ac:dyDescent="0.25">
      <c r="A32" s="7" t="str">
        <f t="shared" si="0"/>
        <v>LIVIA  CANTOWITZ</v>
      </c>
      <c r="B32" s="1" t="s">
        <v>25</v>
      </c>
      <c r="C32" s="1" t="s">
        <v>26</v>
      </c>
      <c r="D32" s="9"/>
      <c r="E32" s="1" t="s">
        <v>27</v>
      </c>
      <c r="G32" s="14"/>
      <c r="I32" s="43">
        <v>5</v>
      </c>
      <c r="J32" s="67">
        <v>4</v>
      </c>
      <c r="K32" s="43">
        <f t="shared" si="3"/>
        <v>1.5</v>
      </c>
      <c r="L32" s="6">
        <f t="shared" si="1"/>
        <v>1.25</v>
      </c>
      <c r="M32" s="56">
        <f t="shared" si="4"/>
        <v>5</v>
      </c>
      <c r="U32" s="5">
        <v>10</v>
      </c>
    </row>
    <row r="33" spans="1:24" x14ac:dyDescent="0.25">
      <c r="A33" s="7" t="str">
        <f t="shared" si="0"/>
        <v>LUCAS  PIRES DE CAMARGO SARAI</v>
      </c>
      <c r="B33" s="1" t="s">
        <v>89</v>
      </c>
      <c r="C33" s="1" t="s">
        <v>90</v>
      </c>
      <c r="D33" s="1"/>
      <c r="E33" s="1" t="s">
        <v>91</v>
      </c>
      <c r="F33" s="4">
        <v>5</v>
      </c>
      <c r="G33" t="s">
        <v>142</v>
      </c>
      <c r="H33" s="47">
        <v>9</v>
      </c>
      <c r="I33" s="43">
        <v>11</v>
      </c>
      <c r="J33" s="67">
        <v>10</v>
      </c>
      <c r="K33" s="43">
        <f t="shared" si="3"/>
        <v>7.5</v>
      </c>
      <c r="L33" s="6">
        <f t="shared" si="1"/>
        <v>7.375</v>
      </c>
      <c r="M33" s="56">
        <f t="shared" si="4"/>
        <v>10</v>
      </c>
      <c r="N33" s="56">
        <v>6.5</v>
      </c>
      <c r="O33" s="56">
        <f>O32</f>
        <v>0</v>
      </c>
      <c r="U33" s="5">
        <v>10</v>
      </c>
      <c r="W33" s="5">
        <v>10</v>
      </c>
    </row>
    <row r="34" spans="1:24" x14ac:dyDescent="0.25">
      <c r="A34" s="7" t="str">
        <f t="shared" si="0"/>
        <v>MARCO  ANTONIO DE CAMARGO</v>
      </c>
      <c r="B34" s="1" t="s">
        <v>13</v>
      </c>
      <c r="C34" s="1" t="s">
        <v>14</v>
      </c>
      <c r="D34" s="1"/>
      <c r="E34" s="1" t="s">
        <v>15</v>
      </c>
      <c r="F34" s="4">
        <v>5</v>
      </c>
      <c r="G34" s="14" t="s">
        <v>143</v>
      </c>
      <c r="H34" s="47">
        <v>1</v>
      </c>
      <c r="I34" s="43">
        <v>7</v>
      </c>
      <c r="J34" s="67">
        <v>6</v>
      </c>
      <c r="K34" s="43">
        <f t="shared" si="3"/>
        <v>10</v>
      </c>
      <c r="L34" s="6">
        <f t="shared" si="1"/>
        <v>9.875</v>
      </c>
      <c r="M34" s="56">
        <f t="shared" si="4"/>
        <v>9.5</v>
      </c>
      <c r="N34" s="56">
        <v>10</v>
      </c>
      <c r="O34" s="56">
        <f>O33</f>
        <v>0</v>
      </c>
      <c r="U34" s="5">
        <v>10</v>
      </c>
      <c r="W34" s="5">
        <v>9</v>
      </c>
    </row>
    <row r="35" spans="1:24" x14ac:dyDescent="0.25">
      <c r="A35" s="18" t="str">
        <f t="shared" si="0"/>
        <v>MARINA  BARROCA</v>
      </c>
      <c r="B35" s="19" t="s">
        <v>19</v>
      </c>
      <c r="C35" s="19" t="s">
        <v>20</v>
      </c>
      <c r="D35" s="19"/>
      <c r="E35" s="19" t="s">
        <v>21</v>
      </c>
      <c r="F35" s="20">
        <v>5</v>
      </c>
      <c r="G35" s="21" t="s">
        <v>148</v>
      </c>
      <c r="H35" s="48">
        <v>10</v>
      </c>
      <c r="I35" s="63">
        <v>4.5</v>
      </c>
      <c r="J35" s="66">
        <v>4.5</v>
      </c>
      <c r="K35" s="44">
        <f t="shared" si="3"/>
        <v>7.5</v>
      </c>
      <c r="L35" s="45">
        <f t="shared" si="1"/>
        <v>7.375</v>
      </c>
      <c r="M35" s="59">
        <f t="shared" si="4"/>
        <v>10</v>
      </c>
      <c r="N35" s="59">
        <v>6.5</v>
      </c>
      <c r="O35" s="59">
        <f>SUM(Q35,R35,S35)</f>
        <v>6.5</v>
      </c>
      <c r="P35" s="60" t="s">
        <v>190</v>
      </c>
      <c r="Q35" s="48">
        <v>1.5</v>
      </c>
      <c r="R35" s="48">
        <v>2.5</v>
      </c>
      <c r="S35" s="48">
        <v>2.5</v>
      </c>
      <c r="T35" s="50"/>
      <c r="U35" s="22">
        <v>10</v>
      </c>
      <c r="V35" s="22"/>
      <c r="W35" s="22">
        <v>10</v>
      </c>
      <c r="X35" s="33"/>
    </row>
    <row r="36" spans="1:24" x14ac:dyDescent="0.25">
      <c r="A36" s="7" t="str">
        <f t="shared" si="0"/>
        <v>MATHEUS  HENRIQUE DE OLIVEIRA SANTOS</v>
      </c>
      <c r="B36" s="1" t="s">
        <v>37</v>
      </c>
      <c r="C36" s="1" t="s">
        <v>38</v>
      </c>
      <c r="D36" s="9"/>
      <c r="E36" s="1" t="s">
        <v>39</v>
      </c>
      <c r="F36" s="10"/>
      <c r="G36" s="1"/>
      <c r="H36" s="49">
        <v>10</v>
      </c>
      <c r="I36" s="43">
        <v>4</v>
      </c>
      <c r="J36" s="67">
        <v>3</v>
      </c>
      <c r="K36" s="43">
        <f t="shared" si="3"/>
        <v>6.5</v>
      </c>
      <c r="L36" s="6">
        <f t="shared" si="1"/>
        <v>6.125</v>
      </c>
      <c r="M36" s="56">
        <f t="shared" si="4"/>
        <v>5</v>
      </c>
      <c r="N36" s="56">
        <v>6.5</v>
      </c>
      <c r="O36" s="56">
        <f t="shared" ref="O36:O42" si="7">O35</f>
        <v>6.5</v>
      </c>
      <c r="U36" s="11" t="s">
        <v>202</v>
      </c>
      <c r="V36" s="11"/>
      <c r="W36" s="11"/>
    </row>
    <row r="37" spans="1:24" x14ac:dyDescent="0.25">
      <c r="A37" s="7" t="str">
        <f t="shared" si="0"/>
        <v>NATAN  MOREIRA PASSOS</v>
      </c>
      <c r="B37" s="1" t="s">
        <v>74</v>
      </c>
      <c r="C37" s="1" t="s">
        <v>75</v>
      </c>
      <c r="D37" s="9"/>
      <c r="E37" s="1" t="s">
        <v>76</v>
      </c>
      <c r="G37" s="14"/>
      <c r="H37" s="47">
        <v>1</v>
      </c>
      <c r="K37" s="43">
        <f t="shared" si="3"/>
        <v>8.5</v>
      </c>
      <c r="L37" s="6">
        <f t="shared" si="1"/>
        <v>8.375</v>
      </c>
      <c r="M37" s="56">
        <f t="shared" si="4"/>
        <v>3.5</v>
      </c>
      <c r="N37" s="56">
        <v>10</v>
      </c>
      <c r="O37" s="56">
        <f t="shared" si="7"/>
        <v>6.5</v>
      </c>
      <c r="U37" s="5">
        <v>7</v>
      </c>
      <c r="V37" s="41" t="s">
        <v>203</v>
      </c>
      <c r="W37" s="41"/>
    </row>
    <row r="38" spans="1:24" x14ac:dyDescent="0.25">
      <c r="A38" s="7" t="str">
        <f t="shared" si="0"/>
        <v>NICOLAS  HENRIQUES DE ALMEIDA</v>
      </c>
      <c r="B38" s="1" t="s">
        <v>40</v>
      </c>
      <c r="C38" s="1" t="s">
        <v>41</v>
      </c>
      <c r="D38" s="1"/>
      <c r="E38" s="1" t="s">
        <v>42</v>
      </c>
      <c r="F38" s="4">
        <v>1</v>
      </c>
      <c r="G38" t="s">
        <v>144</v>
      </c>
      <c r="H38" s="47">
        <v>1</v>
      </c>
      <c r="I38" s="43">
        <v>7.5</v>
      </c>
      <c r="J38" s="67">
        <v>6.5</v>
      </c>
      <c r="K38" s="43">
        <f t="shared" si="3"/>
        <v>10</v>
      </c>
      <c r="L38" s="6">
        <f t="shared" si="1"/>
        <v>10</v>
      </c>
      <c r="M38" s="56">
        <f t="shared" si="4"/>
        <v>10</v>
      </c>
      <c r="N38" s="56">
        <v>10</v>
      </c>
      <c r="O38" s="56">
        <f t="shared" si="7"/>
        <v>6.5</v>
      </c>
      <c r="U38" s="5">
        <v>10</v>
      </c>
      <c r="W38" s="5">
        <v>10</v>
      </c>
    </row>
    <row r="39" spans="1:24" x14ac:dyDescent="0.25">
      <c r="A39" s="7" t="str">
        <f t="shared" si="0"/>
        <v>OTAVIO  AUGUSTO FREIRE DE ANDRADE BRUZADI</v>
      </c>
      <c r="B39" s="1" t="s">
        <v>16</v>
      </c>
      <c r="C39" s="1" t="s">
        <v>17</v>
      </c>
      <c r="D39" s="1"/>
      <c r="E39" s="1" t="s">
        <v>18</v>
      </c>
      <c r="F39" s="4">
        <v>4</v>
      </c>
      <c r="G39" s="14" t="s">
        <v>149</v>
      </c>
      <c r="H39" s="47">
        <v>9</v>
      </c>
      <c r="I39" s="43">
        <v>7.5</v>
      </c>
      <c r="J39" s="67">
        <v>6.5</v>
      </c>
      <c r="K39" s="43">
        <f t="shared" si="3"/>
        <v>7.5</v>
      </c>
      <c r="L39" s="6">
        <f t="shared" si="1"/>
        <v>7.375</v>
      </c>
      <c r="M39" s="56">
        <f t="shared" si="4"/>
        <v>10</v>
      </c>
      <c r="N39" s="56">
        <v>6.5</v>
      </c>
      <c r="O39" s="56">
        <f t="shared" si="7"/>
        <v>6.5</v>
      </c>
      <c r="U39" s="5">
        <v>10</v>
      </c>
      <c r="W39" s="5">
        <v>10</v>
      </c>
    </row>
    <row r="40" spans="1:24" x14ac:dyDescent="0.25">
      <c r="A40" s="18" t="str">
        <f t="shared" si="0"/>
        <v>THOMAS  PINHEIRO GRANDIN</v>
      </c>
      <c r="B40" s="19" t="s">
        <v>86</v>
      </c>
      <c r="C40" s="19" t="s">
        <v>87</v>
      </c>
      <c r="D40" s="19"/>
      <c r="E40" s="19" t="s">
        <v>88</v>
      </c>
      <c r="F40" s="20"/>
      <c r="G40" s="21"/>
      <c r="H40" s="48">
        <v>1</v>
      </c>
      <c r="I40" s="44">
        <v>5.5</v>
      </c>
      <c r="J40" s="66">
        <v>4.5</v>
      </c>
      <c r="K40" s="44">
        <f t="shared" si="3"/>
        <v>7.5</v>
      </c>
      <c r="L40" s="45">
        <f t="shared" si="1"/>
        <v>7.5</v>
      </c>
      <c r="M40" s="59">
        <f t="shared" si="4"/>
        <v>0</v>
      </c>
      <c r="N40" s="59">
        <v>10</v>
      </c>
      <c r="O40" s="59">
        <f t="shared" si="7"/>
        <v>6.5</v>
      </c>
      <c r="P40" s="60"/>
      <c r="Q40" s="48"/>
      <c r="R40" s="48"/>
      <c r="S40" s="48"/>
      <c r="T40" s="50"/>
      <c r="U40" s="22"/>
      <c r="V40" s="22"/>
      <c r="W40" s="22"/>
      <c r="X40" s="33"/>
    </row>
    <row r="41" spans="1:24" x14ac:dyDescent="0.25">
      <c r="A41" s="7" t="str">
        <f t="shared" si="0"/>
        <v>TIAGO  SILVEIRA LOPES</v>
      </c>
      <c r="B41" s="1" t="s">
        <v>98</v>
      </c>
      <c r="C41" s="1" t="s">
        <v>99</v>
      </c>
      <c r="D41" s="1"/>
      <c r="E41" s="1" t="s">
        <v>100</v>
      </c>
      <c r="F41" s="4">
        <v>0</v>
      </c>
      <c r="G41" s="2" t="s">
        <v>145</v>
      </c>
      <c r="H41" s="47">
        <v>6</v>
      </c>
      <c r="I41" s="62">
        <v>4</v>
      </c>
      <c r="J41" s="67">
        <v>4</v>
      </c>
      <c r="K41" s="43">
        <f t="shared" si="3"/>
        <v>6</v>
      </c>
      <c r="L41" s="6">
        <f t="shared" si="1"/>
        <v>5.75</v>
      </c>
      <c r="M41" s="56">
        <f t="shared" si="4"/>
        <v>5</v>
      </c>
      <c r="N41" s="56">
        <v>6</v>
      </c>
      <c r="O41" s="56">
        <f t="shared" si="7"/>
        <v>6.5</v>
      </c>
      <c r="U41" s="5">
        <v>10</v>
      </c>
    </row>
    <row r="42" spans="1:24" x14ac:dyDescent="0.25">
      <c r="A42" s="18" t="str">
        <f t="shared" si="0"/>
        <v>VITOR  ALVES PEREIRA</v>
      </c>
      <c r="B42" s="19" t="s">
        <v>6</v>
      </c>
      <c r="C42" s="19" t="s">
        <v>7</v>
      </c>
      <c r="D42" s="19"/>
      <c r="E42" s="19" t="s">
        <v>9</v>
      </c>
      <c r="F42" s="20">
        <v>5</v>
      </c>
      <c r="G42" s="21" t="s">
        <v>146</v>
      </c>
      <c r="H42" s="48">
        <v>4</v>
      </c>
      <c r="I42" s="44">
        <v>4</v>
      </c>
      <c r="J42" s="66">
        <v>3</v>
      </c>
      <c r="K42" s="44">
        <f t="shared" si="3"/>
        <v>8.5</v>
      </c>
      <c r="L42" s="45">
        <f t="shared" si="1"/>
        <v>8.125</v>
      </c>
      <c r="M42" s="59">
        <f t="shared" si="4"/>
        <v>10</v>
      </c>
      <c r="N42" s="59">
        <v>7.5</v>
      </c>
      <c r="O42" s="59">
        <f t="shared" si="7"/>
        <v>6.5</v>
      </c>
      <c r="P42" s="60"/>
      <c r="Q42" s="48"/>
      <c r="R42" s="48"/>
      <c r="S42" s="48"/>
      <c r="T42" s="50"/>
      <c r="U42" s="22">
        <v>10</v>
      </c>
      <c r="V42" s="22"/>
      <c r="W42" s="22">
        <v>10</v>
      </c>
      <c r="X42" s="33"/>
    </row>
    <row r="43" spans="1:24" x14ac:dyDescent="0.25">
      <c r="I43" s="43" t="s">
        <v>8</v>
      </c>
      <c r="K43" s="43"/>
      <c r="L43" s="6"/>
    </row>
    <row r="44" spans="1:24" x14ac:dyDescent="0.25">
      <c r="I44" s="43" t="s">
        <v>8</v>
      </c>
      <c r="K44" s="43"/>
      <c r="L44" s="6"/>
    </row>
  </sheetData>
  <autoFilter ref="A1:T44" xr:uid="{976B32EA-1F52-46D5-9E73-D7BC92A42345}">
    <sortState xmlns:xlrd2="http://schemas.microsoft.com/office/spreadsheetml/2017/richdata2" ref="A2:T44">
      <sortCondition ref="A1:A44"/>
    </sortState>
  </autoFilter>
  <hyperlinks>
    <hyperlink ref="G6" r:id="rId1" xr:uid="{6251D429-8D45-42CF-BB97-18C91541262E}"/>
    <hyperlink ref="G26" r:id="rId2" xr:uid="{15967D40-2EC8-4032-A71C-28A549DC53E1}"/>
    <hyperlink ref="G41" r:id="rId3" xr:uid="{5FF2EA4E-01CE-45D7-92C8-662327A4E769}"/>
    <hyperlink ref="G42" r:id="rId4" xr:uid="{DCF68ACD-C0CF-4ED8-A3CD-06D66C71C875}"/>
    <hyperlink ref="G2" r:id="rId5" xr:uid="{CE8D9C97-28DE-4ECB-963B-03B94F742A56}"/>
    <hyperlink ref="G4" r:id="rId6" xr:uid="{4D0A6319-3E90-4626-8AEE-28632EE22651}"/>
    <hyperlink ref="G5" r:id="rId7" xr:uid="{77F74441-8C24-46F4-BB0A-D0078FCC893A}"/>
    <hyperlink ref="G7" r:id="rId8" xr:uid="{CDF4C3B8-204A-464C-A922-938A2146F598}"/>
    <hyperlink ref="G8" r:id="rId9" xr:uid="{8490E40D-EC9F-43BB-B897-A32A899076B7}"/>
    <hyperlink ref="G9" r:id="rId10" xr:uid="{62FA573D-4E65-4BB6-B5BE-8AF36AD9D247}"/>
    <hyperlink ref="G11" r:id="rId11" xr:uid="{B37960AC-5E51-44A9-9848-50A61D5F49F3}"/>
    <hyperlink ref="G12" r:id="rId12" xr:uid="{BFF8AA1E-51B1-4E85-A1CC-0FA901F1B4B5}"/>
    <hyperlink ref="G13" r:id="rId13" xr:uid="{C7E6492A-E2F0-4B81-8FB0-E501D71A94DF}"/>
    <hyperlink ref="G14" r:id="rId14" xr:uid="{B529A5ED-1A6B-431A-93CD-A1FE46E960FD}"/>
    <hyperlink ref="G15" r:id="rId15" xr:uid="{1EEBB10A-7A07-4C19-82D7-2EDC03E9657B}"/>
    <hyperlink ref="G16" r:id="rId16" xr:uid="{887D4F6E-27E5-428B-8A4E-080F014B31F8}"/>
    <hyperlink ref="G17" r:id="rId17" xr:uid="{F077C78C-A667-4667-A040-B39938A6CC5F}"/>
    <hyperlink ref="G18" r:id="rId18" xr:uid="{711EEF66-7BDA-43DD-8985-07ABAF996D16}"/>
    <hyperlink ref="G21" r:id="rId19" xr:uid="{1134DA12-0288-41E9-BC43-2C475F1ADAD3}"/>
    <hyperlink ref="G22" r:id="rId20" xr:uid="{2EF3DB4B-C5F4-4EC7-8FBC-F7DFAA012169}"/>
    <hyperlink ref="G24" r:id="rId21" xr:uid="{653FDF1F-B96F-4949-AFB6-68F8C13C04F5}"/>
    <hyperlink ref="G25" r:id="rId22" xr:uid="{AFD6351C-3A82-4061-9CE3-BD3EDB8051F8}"/>
    <hyperlink ref="G29" r:id="rId23" xr:uid="{68ABF4C0-7DD0-4D86-B1EE-2B81E1275B88}"/>
    <hyperlink ref="G30" r:id="rId24" xr:uid="{FA495D4F-AEA4-4221-A684-CD6338A8B8AB}"/>
    <hyperlink ref="G33" r:id="rId25" xr:uid="{1F0D38DF-C0A5-41F9-AC57-7A617765CC35}"/>
    <hyperlink ref="G34" r:id="rId26" xr:uid="{258558CD-A2C2-4FA7-925C-DAFC1CD2BC82}"/>
    <hyperlink ref="G35" r:id="rId27" xr:uid="{425BFDB8-0240-4FEE-BFDD-66C058006A40}"/>
    <hyperlink ref="G38" r:id="rId28" xr:uid="{9D8F6505-8A3D-4789-908A-9A6BD2266A97}"/>
    <hyperlink ref="G39" r:id="rId29" xr:uid="{0B005F8E-9E13-4295-8700-37AE23F75B6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7A4D6-E7E7-49D9-867D-73D4DD749CB9}">
  <dimension ref="A1:B14"/>
  <sheetViews>
    <sheetView tabSelected="1" workbookViewId="0">
      <selection activeCell="E6" sqref="E6"/>
    </sheetView>
  </sheetViews>
  <sheetFormatPr defaultRowHeight="15" x14ac:dyDescent="0.25"/>
  <cols>
    <col min="1" max="1" width="47.7109375" style="65" bestFit="1" customWidth="1"/>
    <col min="2" max="2" width="9.140625" style="71"/>
  </cols>
  <sheetData>
    <row r="1" spans="1:2" ht="15.75" x14ac:dyDescent="0.25">
      <c r="A1" s="64" t="s">
        <v>249</v>
      </c>
      <c r="B1" s="70" t="s">
        <v>262</v>
      </c>
    </row>
    <row r="2" spans="1:2" x14ac:dyDescent="0.25">
      <c r="A2" s="65" t="s">
        <v>236</v>
      </c>
      <c r="B2" s="43">
        <v>9.5</v>
      </c>
    </row>
    <row r="3" spans="1:2" x14ac:dyDescent="0.25">
      <c r="A3" s="65" t="s">
        <v>237</v>
      </c>
      <c r="B3" s="43">
        <v>7</v>
      </c>
    </row>
    <row r="4" spans="1:2" x14ac:dyDescent="0.25">
      <c r="A4" s="65" t="s">
        <v>238</v>
      </c>
      <c r="B4" s="43" t="s">
        <v>263</v>
      </c>
    </row>
    <row r="5" spans="1:2" x14ac:dyDescent="0.25">
      <c r="A5" s="65" t="s">
        <v>239</v>
      </c>
      <c r="B5" s="43">
        <v>10</v>
      </c>
    </row>
    <row r="6" spans="1:2" x14ac:dyDescent="0.25">
      <c r="A6" s="65" t="s">
        <v>240</v>
      </c>
      <c r="B6" s="43">
        <v>1</v>
      </c>
    </row>
    <row r="7" spans="1:2" x14ac:dyDescent="0.25">
      <c r="A7" s="65" t="s">
        <v>241</v>
      </c>
      <c r="B7" s="43">
        <v>4</v>
      </c>
    </row>
    <row r="8" spans="1:2" x14ac:dyDescent="0.25">
      <c r="A8" s="65" t="s">
        <v>242</v>
      </c>
      <c r="B8" s="43" t="s">
        <v>263</v>
      </c>
    </row>
    <row r="9" spans="1:2" x14ac:dyDescent="0.25">
      <c r="A9" s="65" t="s">
        <v>243</v>
      </c>
      <c r="B9" s="43">
        <v>5</v>
      </c>
    </row>
    <row r="10" spans="1:2" x14ac:dyDescent="0.25">
      <c r="A10" s="65" t="s">
        <v>244</v>
      </c>
      <c r="B10" s="43" t="s">
        <v>263</v>
      </c>
    </row>
    <row r="11" spans="1:2" x14ac:dyDescent="0.25">
      <c r="A11" s="65" t="s">
        <v>245</v>
      </c>
      <c r="B11" s="43" t="s">
        <v>263</v>
      </c>
    </row>
    <row r="12" spans="1:2" x14ac:dyDescent="0.25">
      <c r="A12" s="65" t="s">
        <v>246</v>
      </c>
      <c r="B12" s="43">
        <v>5</v>
      </c>
    </row>
    <row r="13" spans="1:2" x14ac:dyDescent="0.25">
      <c r="A13" s="65" t="s">
        <v>247</v>
      </c>
      <c r="B13" s="43">
        <v>5</v>
      </c>
    </row>
    <row r="14" spans="1:2" x14ac:dyDescent="0.25">
      <c r="A14" s="65" t="s">
        <v>248</v>
      </c>
      <c r="B14" s="43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78EE-FBFC-4E47-98AB-2B66B2949A66}">
  <dimension ref="A1:C22"/>
  <sheetViews>
    <sheetView topLeftCell="B1" workbookViewId="0">
      <selection activeCell="F11" sqref="F11"/>
    </sheetView>
  </sheetViews>
  <sheetFormatPr defaultRowHeight="15" x14ac:dyDescent="0.25"/>
  <cols>
    <col min="1" max="1" width="50.85546875" style="65" hidden="1" customWidth="1"/>
    <col min="2" max="2" width="25" style="68" customWidth="1"/>
    <col min="3" max="3" width="11" style="68" customWidth="1"/>
    <col min="4" max="16384" width="9.140625" style="65"/>
  </cols>
  <sheetData>
    <row r="1" spans="1:3" ht="15.75" x14ac:dyDescent="0.25">
      <c r="A1" s="64" t="s">
        <v>214</v>
      </c>
      <c r="B1" s="69" t="s">
        <v>249</v>
      </c>
      <c r="C1" s="69" t="s">
        <v>214</v>
      </c>
    </row>
    <row r="2" spans="1:3" x14ac:dyDescent="0.25">
      <c r="A2" s="65" t="s">
        <v>215</v>
      </c>
      <c r="B2" s="68" t="s">
        <v>236</v>
      </c>
      <c r="C2" s="68" t="s">
        <v>250</v>
      </c>
    </row>
    <row r="3" spans="1:3" x14ac:dyDescent="0.25">
      <c r="A3" s="65" t="s">
        <v>216</v>
      </c>
      <c r="B3" s="68" t="s">
        <v>237</v>
      </c>
      <c r="C3" s="68" t="s">
        <v>251</v>
      </c>
    </row>
    <row r="4" spans="1:3" x14ac:dyDescent="0.25">
      <c r="A4" s="65" t="s">
        <v>217</v>
      </c>
      <c r="B4" s="68" t="s">
        <v>238</v>
      </c>
    </row>
    <row r="5" spans="1:3" x14ac:dyDescent="0.25">
      <c r="A5" s="65" t="s">
        <v>218</v>
      </c>
      <c r="B5" s="68" t="s">
        <v>239</v>
      </c>
      <c r="C5" s="68" t="s">
        <v>252</v>
      </c>
    </row>
    <row r="6" spans="1:3" x14ac:dyDescent="0.25">
      <c r="A6" s="65" t="s">
        <v>219</v>
      </c>
      <c r="B6" s="68" t="s">
        <v>240</v>
      </c>
      <c r="C6" s="68" t="s">
        <v>219</v>
      </c>
    </row>
    <row r="7" spans="1:3" x14ac:dyDescent="0.25">
      <c r="A7" s="65" t="s">
        <v>220</v>
      </c>
      <c r="C7" s="68" t="s">
        <v>253</v>
      </c>
    </row>
    <row r="8" spans="1:3" hidden="1" x14ac:dyDescent="0.25">
      <c r="A8" s="61" t="s">
        <v>221</v>
      </c>
    </row>
    <row r="9" spans="1:3" x14ac:dyDescent="0.25">
      <c r="A9" s="65" t="s">
        <v>222</v>
      </c>
      <c r="C9" s="68" t="s">
        <v>222</v>
      </c>
    </row>
    <row r="10" spans="1:3" x14ac:dyDescent="0.25">
      <c r="A10" s="65" t="s">
        <v>223</v>
      </c>
      <c r="C10" s="68" t="s">
        <v>254</v>
      </c>
    </row>
    <row r="11" spans="1:3" x14ac:dyDescent="0.25">
      <c r="A11" s="65" t="s">
        <v>224</v>
      </c>
      <c r="B11" s="68" t="s">
        <v>241</v>
      </c>
      <c r="C11" s="68" t="s">
        <v>255</v>
      </c>
    </row>
    <row r="12" spans="1:3" x14ac:dyDescent="0.25">
      <c r="A12" s="65" t="s">
        <v>225</v>
      </c>
      <c r="B12" s="68" t="s">
        <v>242</v>
      </c>
      <c r="C12" s="68" t="s">
        <v>225</v>
      </c>
    </row>
    <row r="13" spans="1:3" hidden="1" x14ac:dyDescent="0.25">
      <c r="A13" s="61" t="s">
        <v>226</v>
      </c>
    </row>
    <row r="14" spans="1:3" x14ac:dyDescent="0.25">
      <c r="A14" s="65" t="s">
        <v>227</v>
      </c>
      <c r="C14" s="68" t="s">
        <v>256</v>
      </c>
    </row>
    <row r="15" spans="1:3" x14ac:dyDescent="0.25">
      <c r="A15" s="65" t="s">
        <v>228</v>
      </c>
      <c r="B15" s="68" t="s">
        <v>243</v>
      </c>
      <c r="C15" s="68" t="s">
        <v>228</v>
      </c>
    </row>
    <row r="16" spans="1:3" hidden="1" x14ac:dyDescent="0.25">
      <c r="A16" s="61" t="s">
        <v>229</v>
      </c>
    </row>
    <row r="17" spans="1:3" x14ac:dyDescent="0.25">
      <c r="A17" s="65" t="s">
        <v>230</v>
      </c>
      <c r="B17" s="68" t="s">
        <v>244</v>
      </c>
      <c r="C17" s="68" t="s">
        <v>257</v>
      </c>
    </row>
    <row r="18" spans="1:3" x14ac:dyDescent="0.25">
      <c r="A18" s="65" t="s">
        <v>231</v>
      </c>
      <c r="B18" s="68" t="s">
        <v>245</v>
      </c>
      <c r="C18" s="68" t="s">
        <v>258</v>
      </c>
    </row>
    <row r="19" spans="1:3" x14ac:dyDescent="0.25">
      <c r="A19" s="65" t="s">
        <v>232</v>
      </c>
      <c r="B19" s="68" t="s">
        <v>246</v>
      </c>
      <c r="C19" s="68" t="s">
        <v>232</v>
      </c>
    </row>
    <row r="20" spans="1:3" x14ac:dyDescent="0.25">
      <c r="A20" s="65" t="s">
        <v>233</v>
      </c>
      <c r="B20" s="68" t="s">
        <v>247</v>
      </c>
      <c r="C20" s="68" t="s">
        <v>259</v>
      </c>
    </row>
    <row r="21" spans="1:3" x14ac:dyDescent="0.25">
      <c r="A21" s="65" t="s">
        <v>234</v>
      </c>
      <c r="B21" s="68" t="s">
        <v>248</v>
      </c>
      <c r="C21" s="68" t="s">
        <v>260</v>
      </c>
    </row>
    <row r="22" spans="1:3" x14ac:dyDescent="0.25">
      <c r="A22" s="65" t="s">
        <v>235</v>
      </c>
      <c r="C22" s="68" t="s">
        <v>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Notas B1</vt:lpstr>
      <vt:lpstr>Notas B2</vt:lpstr>
      <vt:lpstr>Notas SUB</vt:lpstr>
      <vt:lpstr> 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ROGERIO DE OLIVEIRA</cp:lastModifiedBy>
  <dcterms:created xsi:type="dcterms:W3CDTF">2026-04-11T12:46:18Z</dcterms:created>
  <dcterms:modified xsi:type="dcterms:W3CDTF">2026-06-03T17:59:21Z</dcterms:modified>
  <cp:category/>
</cp:coreProperties>
</file>